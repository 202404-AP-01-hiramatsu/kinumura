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lip" sheetId="3" state="visible" r:id="rId3"/>
    <sheet xmlns:r="http://schemas.openxmlformats.org/officeDocument/2006/relationships" name="slip_detail" sheetId="4" state="visible" r:id="rId4"/>
    <sheet xmlns:r="http://schemas.openxmlformats.org/officeDocument/2006/relationships" name="slip_media" sheetId="5" state="visible" r:id="rId5"/>
    <sheet xmlns:r="http://schemas.openxmlformats.org/officeDocument/2006/relationships" name="master_setting" sheetId="6" state="visible" r:id="rId6"/>
    <sheet xmlns:r="http://schemas.openxmlformats.org/officeDocument/2006/relationships" name="tod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243E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0" pivotButton="0" quotePrefix="0" xfId="0"/>
    <xf numFmtId="3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OpenAI</author>
  </authors>
  <commentList>
    <comment ref="B2" authorId="0" shapeId="0">
      <text>
        <t>Supabase schema の初期文言に合わせたダミー設定値</t>
      </text>
    </comment>
  </commentList>
</comments>
</file>

<file path=xl/tables/table1.xml><?xml version="1.0" encoding="utf-8"?>
<table xmlns="http://schemas.openxmlformats.org/spreadsheetml/2006/main" id="1" name="SlipTable" displayName="SlipTable" ref="A1:I201" headerRowCount="1">
  <autoFilter ref="A1:I201"/>
  <tableColumns count="9">
    <tableColumn id="1" name="id"/>
    <tableColumn id="2" name="slip_no"/>
    <tableColumn id="3" name="staff_name"/>
    <tableColumn id="4" name="customer_name"/>
    <tableColumn id="5" name="contact_info"/>
    <tableColumn id="6" name="email_address"/>
    <tableColumn id="7" name="loan_date"/>
    <tableColumn id="8" name="return_date"/>
    <tableColumn id="9" name="created_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lipDetailTable" displayName="SlipDetailTable" ref="A1:L402" headerRowCount="1">
  <autoFilter ref="A1:L402"/>
  <tableColumns count="12">
    <tableColumn id="1" name="id"/>
    <tableColumn id="2" name="slip_id"/>
    <tableColumn id="3" name="code"/>
    <tableColumn id="4" name="name"/>
    <tableColumn id="5" name="price"/>
    <tableColumn id="6" name="tax_price"/>
    <tableColumn id="7" name="credit"/>
    <tableColumn id="8" name="media_name"/>
    <tableColumn id="9" name="release_date"/>
    <tableColumn id="10" name="note"/>
    <tableColumn id="11" name="returned"/>
    <tableColumn id="12" name="returned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lipMediaTable" displayName="SlipMediaTable" ref="A1:F267" headerRowCount="1">
  <autoFilter ref="A1:F267"/>
  <tableColumns count="6">
    <tableColumn id="1" name="id"/>
    <tableColumn id="2" name="slip_id"/>
    <tableColumn id="3" name="media_name"/>
    <tableColumn id="4" name="project_name"/>
    <tableColumn id="5" name="release_date"/>
    <tableColumn id="6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sterSettingTable" displayName="MasterSettingTable" ref="A1:C2" headerRowCount="1">
  <autoFilter ref="A1:C2"/>
  <tableColumns count="3">
    <tableColumn id="1" name="id"/>
    <tableColumn id="2" name="master_text"/>
    <tableColumn id="3" name="updated_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odoTable" displayName="TodoTable" ref="A1:B2" headerRowCount="1">
  <autoFilter ref="A1:B2"/>
  <tableColumns count="2">
    <tableColumn id="1" name="id"/>
    <tableColumn id="2" name="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58" customWidth="1" min="3" max="3"/>
  </cols>
  <sheetData>
    <row r="1">
      <c r="A1" s="1" t="inlineStr">
        <is>
          <t>シート名</t>
        </is>
      </c>
      <c r="B1" s="1" t="inlineStr">
        <is>
          <t>用途</t>
        </is>
      </c>
      <c r="C1" s="1" t="inlineStr">
        <is>
          <t>件数 / 説明</t>
        </is>
      </c>
    </row>
    <row r="2">
      <c r="A2" s="2" t="inlineStr">
        <is>
          <t>README</t>
        </is>
      </c>
      <c r="B2" s="3" t="inlineStr">
        <is>
          <t>このブックの説明</t>
        </is>
      </c>
      <c r="C2" s="3" t="inlineStr">
        <is>
          <t>アプリ取込向けのダミーデータ一式</t>
        </is>
      </c>
    </row>
    <row r="3">
      <c r="A3" s="2" t="inlineStr">
        <is>
          <t>summary</t>
        </is>
      </c>
      <c r="B3" s="3" t="inlineStr">
        <is>
          <t>件数・金額確認</t>
        </is>
      </c>
      <c r="C3" s="3" t="inlineStr">
        <is>
          <t>数式入りサマリー</t>
        </is>
      </c>
    </row>
    <row r="4">
      <c r="A4" s="2" t="inlineStr">
        <is>
          <t>slip</t>
        </is>
      </c>
      <c r="B4" s="3" t="inlineStr">
        <is>
          <t>伝票ヘッダ</t>
        </is>
      </c>
      <c r="C4" s="3" t="inlineStr">
        <is>
          <t>200件</t>
        </is>
      </c>
    </row>
    <row r="5">
      <c r="A5" s="2" t="inlineStr">
        <is>
          <t>slip_detail</t>
        </is>
      </c>
      <c r="B5" s="3" t="inlineStr">
        <is>
          <t>伝票明細</t>
        </is>
      </c>
      <c r="C5" s="3" t="inlineStr">
        <is>
          <t>401件</t>
        </is>
      </c>
    </row>
    <row r="6">
      <c r="A6" s="2" t="inlineStr">
        <is>
          <t>slip_media</t>
        </is>
      </c>
      <c r="B6" s="3" t="inlineStr">
        <is>
          <t>媒体情報</t>
        </is>
      </c>
      <c r="C6" s="3" t="inlineStr">
        <is>
          <t>266件</t>
        </is>
      </c>
    </row>
    <row r="7">
      <c r="A7" s="2" t="inlineStr">
        <is>
          <t>master_setting</t>
        </is>
      </c>
      <c r="B7" s="3" t="inlineStr">
        <is>
          <t>固定文言</t>
        </is>
      </c>
      <c r="C7" s="3" t="inlineStr">
        <is>
          <t>1件</t>
        </is>
      </c>
    </row>
    <row r="8">
      <c r="A8" s="2" t="inlineStr">
        <is>
          <t>todo</t>
        </is>
      </c>
      <c r="B8" s="3" t="inlineStr">
        <is>
          <t>初期ToDo</t>
        </is>
      </c>
      <c r="C8" s="3" t="inlineStr">
        <is>
          <t>1件</t>
        </is>
      </c>
    </row>
    <row r="9">
      <c r="A9" s="2" t="inlineStr"/>
      <c r="B9" s="3" t="inlineStr"/>
      <c r="C9" s="3" t="inlineStr"/>
    </row>
    <row r="10">
      <c r="A10" s="2" t="inlineStr">
        <is>
          <t>補足</t>
        </is>
      </c>
      <c r="B10" s="3" t="inlineStr">
        <is>
          <t>インポート順</t>
        </is>
      </c>
      <c r="C10" s="3" t="inlineStr">
        <is>
          <t>slip → slip_detail / slip_media → master_setting → todo</t>
        </is>
      </c>
    </row>
    <row r="11">
      <c r="A11" s="2" t="inlineStr">
        <is>
          <t>補足</t>
        </is>
      </c>
      <c r="B11" s="3" t="inlineStr">
        <is>
          <t>主キー / 外部キー</t>
        </is>
      </c>
      <c r="C11" s="3" t="inlineStr">
        <is>
          <t>slip.id を slip_detail.slip_id / slip_media.slip_id が参照</t>
        </is>
      </c>
    </row>
    <row r="12">
      <c r="A12" s="2" t="inlineStr">
        <is>
          <t>補足</t>
        </is>
      </c>
      <c r="B12" s="3" t="inlineStr">
        <is>
          <t>ダミーデータ条件</t>
        </is>
      </c>
      <c r="C12" s="3" t="inlineStr">
        <is>
          <t>氏名・メール等はすべて架空データです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0" customWidth="1" min="4" max="4"/>
  </cols>
  <sheetData>
    <row r="1">
      <c r="A1" s="4" t="inlineStr">
        <is>
          <t>アプリ用ダミーデータ サマリー</t>
        </is>
      </c>
    </row>
    <row r="2">
      <c r="A2" s="3" t="n"/>
      <c r="B2" s="3" t="n"/>
      <c r="C2" s="3" t="n"/>
      <c r="D2" s="3" t="n"/>
    </row>
    <row r="3">
      <c r="A3" s="1" t="inlineStr">
        <is>
          <t>項目</t>
        </is>
      </c>
      <c r="B3" s="1" t="inlineStr">
        <is>
          <t>値</t>
        </is>
      </c>
      <c r="C3" s="1" t="inlineStr">
        <is>
          <t>備考</t>
        </is>
      </c>
      <c r="D3" s="1" t="inlineStr">
        <is>
          <t>確認</t>
        </is>
      </c>
    </row>
    <row r="4">
      <c r="A4" s="3" t="inlineStr">
        <is>
          <t>伝票件数</t>
        </is>
      </c>
      <c r="B4" s="5">
        <f>ROWS(slip!A2:A201)</f>
        <v/>
      </c>
      <c r="C4" s="3" t="inlineStr">
        <is>
          <t>指定どおり200件</t>
        </is>
      </c>
      <c r="D4" s="3" t="inlineStr">
        <is>
          <t>OK</t>
        </is>
      </c>
    </row>
    <row r="5">
      <c r="A5" s="3" t="inlineStr">
        <is>
          <t>明細件数</t>
        </is>
      </c>
      <c r="B5" s="5">
        <f>COUNTA(slip_detail!A:A)-1</f>
        <v/>
      </c>
      <c r="C5" s="3" t="inlineStr">
        <is>
          <t>1伝票あたり1〜3件</t>
        </is>
      </c>
      <c r="D5" s="3" t="inlineStr">
        <is>
          <t>OK</t>
        </is>
      </c>
    </row>
    <row r="6">
      <c r="A6" s="3" t="inlineStr">
        <is>
          <t>媒体件数</t>
        </is>
      </c>
      <c r="B6" s="5">
        <f>COUNTA(slip_media!A:A)-1</f>
        <v/>
      </c>
      <c r="C6" s="3" t="inlineStr">
        <is>
          <t>1伝票あたり1〜2件</t>
        </is>
      </c>
      <c r="D6" s="3" t="inlineStr">
        <is>
          <t>OK</t>
        </is>
      </c>
    </row>
    <row r="7">
      <c r="A7" s="3" t="inlineStr">
        <is>
          <t>未返却明細</t>
        </is>
      </c>
      <c r="B7" s="5">
        <f>COUNTIF(slip_detail!K:K,FALSE)</f>
        <v/>
      </c>
      <c r="C7" s="3" t="inlineStr">
        <is>
          <t>返却管理テスト用</t>
        </is>
      </c>
      <c r="D7" s="3" t="inlineStr">
        <is>
          <t>OK</t>
        </is>
      </c>
    </row>
    <row r="8">
      <c r="A8" s="3" t="inlineStr">
        <is>
          <t>税込合計</t>
        </is>
      </c>
      <c r="B8" s="5">
        <f>SUM(slip_detail!F:F)</f>
        <v/>
      </c>
      <c r="C8" s="3" t="inlineStr">
        <is>
          <t>金額検証用</t>
        </is>
      </c>
      <c r="D8" s="3" t="inlineStr">
        <is>
          <t>OK</t>
        </is>
      </c>
    </row>
    <row r="9">
      <c r="A9" s="3" t="inlineStr">
        <is>
          <t>最小貸出日</t>
        </is>
      </c>
      <c r="B9" s="6">
        <f>MIN(slip!G:G)</f>
        <v/>
      </c>
      <c r="C9" s="3" t="inlineStr">
        <is>
          <t>日付フォーマット確認</t>
        </is>
      </c>
      <c r="D9" s="3" t="inlineStr">
        <is>
          <t>OK</t>
        </is>
      </c>
    </row>
    <row r="10">
      <c r="A10" s="3" t="inlineStr">
        <is>
          <t>最大返却予定日</t>
        </is>
      </c>
      <c r="B10" s="6">
        <f>MAX(slip!H:H)</f>
        <v/>
      </c>
      <c r="C10" s="3" t="inlineStr">
        <is>
          <t>日付フォーマット確認</t>
        </is>
      </c>
      <c r="D10" s="3" t="inlineStr">
        <is>
          <t>OK</t>
        </is>
      </c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7" t="inlineStr">
        <is>
          <t>備考</t>
        </is>
      </c>
      <c r="B13" s="3" t="n"/>
      <c r="C13" s="3" t="n"/>
      <c r="D13" s="3" t="n"/>
    </row>
    <row r="14">
      <c r="A14" s="3" t="inlineStr">
        <is>
          <t>このブックはExcel形式(.xlsx)ですが、そのままGoogleスプレッドシートにアップロードして利用できます。</t>
        </is>
      </c>
      <c r="B14" s="3" t="n"/>
      <c r="C14" s="3" t="n"/>
      <c r="D14" s="3" t="n"/>
    </row>
  </sheetData>
  <mergeCells count="2">
    <mergeCell ref="A1:D1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6" customWidth="1" min="4" max="4"/>
    <col width="20" customWidth="1" min="5" max="5"/>
    <col width="24" customWidth="1" min="6" max="6"/>
    <col width="12" customWidth="1" min="7" max="7"/>
    <col width="12" customWidth="1" min="8" max="8"/>
    <col width="20" customWidth="1" min="9" max="9"/>
  </cols>
  <sheetData>
    <row r="1">
      <c r="A1" s="1" t="inlineStr">
        <is>
          <t>id</t>
        </is>
      </c>
      <c r="B1" s="1" t="inlineStr">
        <is>
          <t>slip_no</t>
        </is>
      </c>
      <c r="C1" s="1" t="inlineStr">
        <is>
          <t>staff_name</t>
        </is>
      </c>
      <c r="D1" s="1" t="inlineStr">
        <is>
          <t>customer_name</t>
        </is>
      </c>
      <c r="E1" s="1" t="inlineStr">
        <is>
          <t>contact_info</t>
        </is>
      </c>
      <c r="F1" s="1" t="inlineStr">
        <is>
          <t>email_address</t>
        </is>
      </c>
      <c r="G1" s="1" t="inlineStr">
        <is>
          <t>loan_date</t>
        </is>
      </c>
      <c r="H1" s="1" t="inlineStr">
        <is>
          <t>return_date</t>
        </is>
      </c>
      <c r="I1" s="1" t="inlineStr">
        <is>
          <t>created_at</t>
        </is>
      </c>
    </row>
    <row r="2">
      <c r="A2" s="8" t="n">
        <v>1</v>
      </c>
      <c r="B2" s="3" t="inlineStr">
        <is>
          <t>202601001</t>
        </is>
      </c>
      <c r="C2" s="3" t="inlineStr">
        <is>
          <t>木村 太郎</t>
        </is>
      </c>
      <c r="D2" s="3" t="inlineStr">
        <is>
          <t>林 二郎</t>
        </is>
      </c>
      <c r="E2" s="3" t="inlineStr">
        <is>
          <t>林企画 二郎</t>
        </is>
      </c>
      <c r="F2" s="3" t="inlineStr">
        <is>
          <t>customer001@example.jp</t>
        </is>
      </c>
      <c r="G2" s="9" t="n">
        <v>46030</v>
      </c>
      <c r="H2" s="9" t="n">
        <v>46038</v>
      </c>
      <c r="I2" s="10" t="n">
        <v>46029.42152777778</v>
      </c>
    </row>
    <row r="3">
      <c r="A3" s="8" t="n">
        <v>2</v>
      </c>
      <c r="B3" s="3" t="inlineStr">
        <is>
          <t>202601002</t>
        </is>
      </c>
      <c r="C3" s="3" t="inlineStr">
        <is>
          <t>佐藤 花子</t>
        </is>
      </c>
      <c r="D3" s="3" t="inlineStr">
        <is>
          <t>田中 莉子</t>
        </is>
      </c>
      <c r="E3" s="3" t="inlineStr">
        <is>
          <t>田中企画 莉子</t>
        </is>
      </c>
      <c r="F3" s="3" t="inlineStr">
        <is>
          <t>customer002@example.jp</t>
        </is>
      </c>
      <c r="G3" s="9" t="n">
        <v>46032</v>
      </c>
      <c r="H3" s="9" t="n">
        <v>46041</v>
      </c>
      <c r="I3" s="10" t="n">
        <v>46031.46805555555</v>
      </c>
    </row>
    <row r="4">
      <c r="A4" s="8" t="n">
        <v>3</v>
      </c>
      <c r="B4" s="3" t="inlineStr">
        <is>
          <t>202601003</t>
        </is>
      </c>
      <c r="C4" s="3" t="inlineStr">
        <is>
          <t>高橋 健</t>
        </is>
      </c>
      <c r="D4" s="3" t="inlineStr">
        <is>
          <t>吉田 愛</t>
        </is>
      </c>
      <c r="E4" s="3" t="inlineStr">
        <is>
          <t>吉田企画 愛</t>
        </is>
      </c>
      <c r="F4" s="3" t="inlineStr">
        <is>
          <t>customer003@example.jp</t>
        </is>
      </c>
      <c r="G4" s="9" t="n">
        <v>46034</v>
      </c>
      <c r="H4" s="9" t="n">
        <v>46044</v>
      </c>
      <c r="I4" s="10" t="n">
        <v>46033.51458333333</v>
      </c>
    </row>
    <row r="5">
      <c r="A5" s="8" t="n">
        <v>4</v>
      </c>
      <c r="B5" s="3" t="inlineStr">
        <is>
          <t>202601004</t>
        </is>
      </c>
      <c r="C5" s="3" t="inlineStr">
        <is>
          <t>鈴木 美咲</t>
        </is>
      </c>
      <c r="D5" s="3" t="inlineStr">
        <is>
          <t>伊藤 美咲</t>
        </is>
      </c>
      <c r="E5" s="3" t="inlineStr">
        <is>
          <t>伊藤企画 美咲</t>
        </is>
      </c>
      <c r="F5" s="3" t="inlineStr">
        <is>
          <t>customer004@example.jp</t>
        </is>
      </c>
      <c r="G5" s="9" t="n">
        <v>46036</v>
      </c>
      <c r="H5" s="9" t="n">
        <v>46047</v>
      </c>
      <c r="I5" s="10" t="n">
        <v>46035.56111111111</v>
      </c>
    </row>
    <row r="6">
      <c r="A6" s="8" t="n">
        <v>5</v>
      </c>
      <c r="B6" s="3" t="inlineStr">
        <is>
          <t>202601005</t>
        </is>
      </c>
      <c r="C6" s="3" t="inlineStr">
        <is>
          <t>伊藤 翔</t>
        </is>
      </c>
      <c r="D6" s="3" t="inlineStr">
        <is>
          <t>池田 二郎</t>
        </is>
      </c>
      <c r="E6" s="3" t="inlineStr">
        <is>
          <t>池田企画 二郎</t>
        </is>
      </c>
      <c r="F6" s="3" t="inlineStr">
        <is>
          <t>customer005@example.jp</t>
        </is>
      </c>
      <c r="G6" s="9" t="n">
        <v>46038</v>
      </c>
      <c r="H6" s="9" t="n">
        <v>46050</v>
      </c>
      <c r="I6" s="10" t="n">
        <v>46037.60763888889</v>
      </c>
    </row>
    <row r="7">
      <c r="A7" s="8" t="n">
        <v>6</v>
      </c>
      <c r="B7" s="3" t="inlineStr">
        <is>
          <t>202601006</t>
        </is>
      </c>
      <c r="C7" s="3" t="inlineStr">
        <is>
          <t>中村 優奈</t>
        </is>
      </c>
      <c r="D7" s="3" t="inlineStr">
        <is>
          <t>林 莉子</t>
        </is>
      </c>
      <c r="E7" s="3" t="inlineStr">
        <is>
          <t>林企画 莉子</t>
        </is>
      </c>
      <c r="F7" s="3" t="inlineStr">
        <is>
          <t>customer006@example.jp</t>
        </is>
      </c>
      <c r="G7" s="9" t="n">
        <v>46040</v>
      </c>
      <c r="H7" s="9" t="n">
        <v>46053</v>
      </c>
      <c r="I7" s="10" t="n">
        <v>46039.65416666667</v>
      </c>
    </row>
    <row r="8">
      <c r="A8" s="8" t="n">
        <v>7</v>
      </c>
      <c r="B8" s="3" t="inlineStr">
        <is>
          <t>202601007</t>
        </is>
      </c>
      <c r="C8" s="3" t="inlineStr">
        <is>
          <t>小林 陽介</t>
        </is>
      </c>
      <c r="D8" s="3" t="inlineStr">
        <is>
          <t>井上 二郎</t>
        </is>
      </c>
      <c r="E8" s="3" t="inlineStr">
        <is>
          <t>井上企画 二郎</t>
        </is>
      </c>
      <c r="F8" s="3" t="inlineStr">
        <is>
          <t>customer007@example.jp</t>
        </is>
      </c>
      <c r="G8" s="9" t="n">
        <v>46042</v>
      </c>
      <c r="H8" s="9" t="n">
        <v>46056</v>
      </c>
      <c r="I8" s="10" t="n">
        <v>46041.70069444444</v>
      </c>
    </row>
    <row r="9">
      <c r="A9" s="8" t="n">
        <v>8</v>
      </c>
      <c r="B9" s="3" t="inlineStr">
        <is>
          <t>202601008</t>
        </is>
      </c>
      <c r="C9" s="3" t="inlineStr">
        <is>
          <t>加藤 彩</t>
        </is>
      </c>
      <c r="D9" s="3" t="inlineStr">
        <is>
          <t>清水 遥</t>
        </is>
      </c>
      <c r="E9" s="3" t="inlineStr">
        <is>
          <t>清水企画 遥</t>
        </is>
      </c>
      <c r="F9" s="3" t="inlineStr">
        <is>
          <t>customer008@example.jp</t>
        </is>
      </c>
      <c r="G9" s="9" t="n">
        <v>46044</v>
      </c>
      <c r="H9" s="9" t="n">
        <v>46051</v>
      </c>
      <c r="I9" s="10" t="n">
        <v>46043.41388888889</v>
      </c>
    </row>
    <row r="10">
      <c r="A10" s="8" t="n">
        <v>9</v>
      </c>
      <c r="B10" s="3" t="inlineStr">
        <is>
          <t>202601009</t>
        </is>
      </c>
      <c r="C10" s="3" t="inlineStr">
        <is>
          <t>木村 太郎</t>
        </is>
      </c>
      <c r="D10" s="3" t="inlineStr">
        <is>
          <t>田中 一郎</t>
        </is>
      </c>
      <c r="E10" s="3" t="inlineStr">
        <is>
          <t>田中企画 一郎</t>
        </is>
      </c>
      <c r="F10" s="3" t="inlineStr">
        <is>
          <t>customer009@example.jp</t>
        </is>
      </c>
      <c r="G10" s="9" t="n">
        <v>46046</v>
      </c>
      <c r="H10" s="9" t="n">
        <v>46054</v>
      </c>
      <c r="I10" s="10" t="n">
        <v>46045.41875</v>
      </c>
    </row>
    <row r="11">
      <c r="A11" s="8" t="n">
        <v>10</v>
      </c>
      <c r="B11" s="3" t="inlineStr">
        <is>
          <t>202601010</t>
        </is>
      </c>
      <c r="C11" s="3" t="inlineStr">
        <is>
          <t>佐藤 花子</t>
        </is>
      </c>
      <c r="D11" s="3" t="inlineStr">
        <is>
          <t>山本 愛</t>
        </is>
      </c>
      <c r="E11" s="3" t="inlineStr">
        <is>
          <t>山本企画 愛</t>
        </is>
      </c>
      <c r="F11" s="3" t="inlineStr">
        <is>
          <t>customer010@example.jp</t>
        </is>
      </c>
      <c r="G11" s="9" t="n">
        <v>46048</v>
      </c>
      <c r="H11" s="9" t="n">
        <v>46057</v>
      </c>
      <c r="I11" s="10" t="n">
        <v>46047.46527777778</v>
      </c>
    </row>
    <row r="12">
      <c r="A12" s="8" t="n">
        <v>11</v>
      </c>
      <c r="B12" s="3" t="inlineStr">
        <is>
          <t>202601011</t>
        </is>
      </c>
      <c r="C12" s="3" t="inlineStr">
        <is>
          <t>高橋 健</t>
        </is>
      </c>
      <c r="D12" s="3" t="inlineStr">
        <is>
          <t>伊藤 大輔</t>
        </is>
      </c>
      <c r="E12" s="3" t="inlineStr">
        <is>
          <t>伊藤企画 大輔</t>
        </is>
      </c>
      <c r="F12" s="3" t="inlineStr">
        <is>
          <t>customer011@example.jp</t>
        </is>
      </c>
      <c r="G12" s="9" t="n">
        <v>46050</v>
      </c>
      <c r="H12" s="9" t="n">
        <v>46060</v>
      </c>
      <c r="I12" s="10" t="n">
        <v>46049.51180555556</v>
      </c>
    </row>
    <row r="13">
      <c r="A13" s="8" t="n">
        <v>12</v>
      </c>
      <c r="B13" s="3" t="inlineStr">
        <is>
          <t>202601012</t>
        </is>
      </c>
      <c r="C13" s="3" t="inlineStr">
        <is>
          <t>鈴木 美咲</t>
        </is>
      </c>
      <c r="D13" s="3" t="inlineStr">
        <is>
          <t>清水 一郎</t>
        </is>
      </c>
      <c r="E13" s="3" t="inlineStr">
        <is>
          <t>清水企画 一郎</t>
        </is>
      </c>
      <c r="F13" s="3" t="inlineStr">
        <is>
          <t>customer012@example.jp</t>
        </is>
      </c>
      <c r="G13" s="9" t="n">
        <v>46052</v>
      </c>
      <c r="H13" s="9" t="n">
        <v>46063</v>
      </c>
      <c r="I13" s="10" t="n">
        <v>46051.55833333333</v>
      </c>
    </row>
    <row r="14">
      <c r="A14" s="8" t="n">
        <v>13</v>
      </c>
      <c r="B14" s="3" t="inlineStr">
        <is>
          <t>202602013</t>
        </is>
      </c>
      <c r="C14" s="3" t="inlineStr">
        <is>
          <t>伊藤 翔</t>
        </is>
      </c>
      <c r="D14" s="3" t="inlineStr">
        <is>
          <t>井上 愛</t>
        </is>
      </c>
      <c r="E14" s="3" t="inlineStr">
        <is>
          <t>井上企画 愛</t>
        </is>
      </c>
      <c r="F14" s="3" t="inlineStr">
        <is>
          <t>customer013@example.jp</t>
        </is>
      </c>
      <c r="G14" s="9" t="n">
        <v>46054</v>
      </c>
      <c r="H14" s="9" t="n">
        <v>46066</v>
      </c>
      <c r="I14" s="10" t="n">
        <v>46053.60486111111</v>
      </c>
    </row>
    <row r="15">
      <c r="A15" s="8" t="n">
        <v>14</v>
      </c>
      <c r="B15" s="3" t="inlineStr">
        <is>
          <t>202602014</t>
        </is>
      </c>
      <c r="C15" s="3" t="inlineStr">
        <is>
          <t>中村 優奈</t>
        </is>
      </c>
      <c r="D15" s="3" t="inlineStr">
        <is>
          <t>池田 和也</t>
        </is>
      </c>
      <c r="E15" s="3" t="inlineStr">
        <is>
          <t>池田企画 和也</t>
        </is>
      </c>
      <c r="F15" s="3" t="inlineStr">
        <is>
          <t>customer014@example.jp</t>
        </is>
      </c>
      <c r="G15" s="9" t="n">
        <v>46056</v>
      </c>
      <c r="H15" s="9" t="n">
        <v>46069</v>
      </c>
      <c r="I15" s="10" t="n">
        <v>46055.65138888889</v>
      </c>
    </row>
    <row r="16">
      <c r="A16" s="8" t="n">
        <v>15</v>
      </c>
      <c r="B16" s="3" t="inlineStr">
        <is>
          <t>202602015</t>
        </is>
      </c>
      <c r="C16" s="3" t="inlineStr">
        <is>
          <t>小林 陽介</t>
        </is>
      </c>
      <c r="D16" s="3" t="inlineStr">
        <is>
          <t>池田 大輔</t>
        </is>
      </c>
      <c r="E16" s="3" t="inlineStr">
        <is>
          <t>池田企画 大輔</t>
        </is>
      </c>
      <c r="F16" s="3" t="inlineStr">
        <is>
          <t>customer015@example.jp</t>
        </is>
      </c>
      <c r="G16" s="9" t="n">
        <v>46058</v>
      </c>
      <c r="H16" s="9" t="n">
        <v>46072</v>
      </c>
      <c r="I16" s="10" t="n">
        <v>46057.69791666666</v>
      </c>
    </row>
    <row r="17">
      <c r="A17" s="8" t="n">
        <v>16</v>
      </c>
      <c r="B17" s="3" t="inlineStr">
        <is>
          <t>202602016</t>
        </is>
      </c>
      <c r="C17" s="3" t="inlineStr">
        <is>
          <t>加藤 彩</t>
        </is>
      </c>
      <c r="D17" s="3" t="inlineStr">
        <is>
          <t>佐々木 愛</t>
        </is>
      </c>
      <c r="E17" s="3" t="inlineStr">
        <is>
          <t>佐々木企画 愛</t>
        </is>
      </c>
      <c r="F17" s="3" t="inlineStr">
        <is>
          <t>customer016@example.jp</t>
        </is>
      </c>
      <c r="G17" s="9" t="n">
        <v>46060</v>
      </c>
      <c r="H17" s="9" t="n">
        <v>46067</v>
      </c>
      <c r="I17" s="10" t="n">
        <v>46059.41111111111</v>
      </c>
    </row>
    <row r="18">
      <c r="A18" s="8" t="n">
        <v>17</v>
      </c>
      <c r="B18" s="3" t="inlineStr">
        <is>
          <t>202602017</t>
        </is>
      </c>
      <c r="C18" s="3" t="inlineStr">
        <is>
          <t>木村 太郎</t>
        </is>
      </c>
      <c r="D18" s="3" t="inlineStr">
        <is>
          <t>松本 真由</t>
        </is>
      </c>
      <c r="E18" s="3" t="inlineStr">
        <is>
          <t>松本企画 真由</t>
        </is>
      </c>
      <c r="F18" s="3" t="inlineStr">
        <is>
          <t>customer017@example.jp</t>
        </is>
      </c>
      <c r="G18" s="9" t="n">
        <v>46062</v>
      </c>
      <c r="H18" s="9" t="n">
        <v>46070</v>
      </c>
      <c r="I18" s="10" t="n">
        <v>46061.45763888889</v>
      </c>
    </row>
    <row r="19">
      <c r="A19" s="8" t="n">
        <v>18</v>
      </c>
      <c r="B19" s="3" t="inlineStr">
        <is>
          <t>202602018</t>
        </is>
      </c>
      <c r="C19" s="3" t="inlineStr">
        <is>
          <t>佐藤 花子</t>
        </is>
      </c>
      <c r="D19" s="3" t="inlineStr">
        <is>
          <t>吉田 一郎</t>
        </is>
      </c>
      <c r="E19" s="3" t="inlineStr">
        <is>
          <t>吉田企画 一郎</t>
        </is>
      </c>
      <c r="F19" s="3" t="inlineStr">
        <is>
          <t>customer018@example.jp</t>
        </is>
      </c>
      <c r="G19" s="9" t="n">
        <v>46064</v>
      </c>
      <c r="H19" s="9" t="n">
        <v>46073</v>
      </c>
      <c r="I19" s="10" t="n">
        <v>46063.4625</v>
      </c>
    </row>
    <row r="20">
      <c r="A20" s="8" t="n">
        <v>19</v>
      </c>
      <c r="B20" s="3" t="inlineStr">
        <is>
          <t>202602019</t>
        </is>
      </c>
      <c r="C20" s="3" t="inlineStr">
        <is>
          <t>高橋 健</t>
        </is>
      </c>
      <c r="D20" s="3" t="inlineStr">
        <is>
          <t>渡辺 莉子</t>
        </is>
      </c>
      <c r="E20" s="3" t="inlineStr">
        <is>
          <t>渡辺企画 莉子</t>
        </is>
      </c>
      <c r="F20" s="3" t="inlineStr">
        <is>
          <t>customer019@example.jp</t>
        </is>
      </c>
      <c r="G20" s="9" t="n">
        <v>46066</v>
      </c>
      <c r="H20" s="9" t="n">
        <v>46076</v>
      </c>
      <c r="I20" s="10" t="n">
        <v>46065.50902777778</v>
      </c>
    </row>
    <row r="21">
      <c r="A21" s="8" t="n">
        <v>20</v>
      </c>
      <c r="B21" s="3" t="inlineStr">
        <is>
          <t>202602020</t>
        </is>
      </c>
      <c r="C21" s="3" t="inlineStr">
        <is>
          <t>鈴木 美咲</t>
        </is>
      </c>
      <c r="D21" s="3" t="inlineStr">
        <is>
          <t>佐々木 涼</t>
        </is>
      </c>
      <c r="E21" s="3" t="inlineStr">
        <is>
          <t>佐々木企画 涼</t>
        </is>
      </c>
      <c r="F21" s="3" t="inlineStr">
        <is>
          <t>customer020@example.jp</t>
        </is>
      </c>
      <c r="G21" s="9" t="n">
        <v>46068</v>
      </c>
      <c r="H21" s="9" t="n">
        <v>46079</v>
      </c>
      <c r="I21" s="10" t="n">
        <v>46067.55555555555</v>
      </c>
    </row>
    <row r="22">
      <c r="A22" s="8" t="n">
        <v>21</v>
      </c>
      <c r="B22" s="3" t="inlineStr">
        <is>
          <t>202602021</t>
        </is>
      </c>
      <c r="C22" s="3" t="inlineStr">
        <is>
          <t>伊藤 翔</t>
        </is>
      </c>
      <c r="D22" s="3" t="inlineStr">
        <is>
          <t>吉田 美咲</t>
        </is>
      </c>
      <c r="E22" s="3" t="inlineStr">
        <is>
          <t>吉田企画 美咲</t>
        </is>
      </c>
      <c r="F22" s="3" t="inlineStr">
        <is>
          <t>customer021@example.jp</t>
        </is>
      </c>
      <c r="G22" s="9" t="n">
        <v>46070</v>
      </c>
      <c r="H22" s="9" t="n">
        <v>46082</v>
      </c>
      <c r="I22" s="10" t="n">
        <v>46069.60208333333</v>
      </c>
    </row>
    <row r="23">
      <c r="A23" s="8" t="n">
        <v>22</v>
      </c>
      <c r="B23" s="3" t="inlineStr">
        <is>
          <t>202602022</t>
        </is>
      </c>
      <c r="C23" s="3" t="inlineStr">
        <is>
          <t>中村 優奈</t>
        </is>
      </c>
      <c r="D23" s="3" t="inlineStr">
        <is>
          <t>伊藤 涼</t>
        </is>
      </c>
      <c r="E23" s="3" t="inlineStr">
        <is>
          <t>伊藤企画 涼</t>
        </is>
      </c>
      <c r="F23" s="3" t="inlineStr">
        <is>
          <t>customer022@example.jp</t>
        </is>
      </c>
      <c r="G23" s="9" t="n">
        <v>46072</v>
      </c>
      <c r="H23" s="9" t="n">
        <v>46085</v>
      </c>
      <c r="I23" s="10" t="n">
        <v>46071.64861111111</v>
      </c>
    </row>
    <row r="24">
      <c r="A24" s="8" t="n">
        <v>23</v>
      </c>
      <c r="B24" s="3" t="inlineStr">
        <is>
          <t>202602023</t>
        </is>
      </c>
      <c r="C24" s="3" t="inlineStr">
        <is>
          <t>小林 陽介</t>
        </is>
      </c>
      <c r="D24" s="3" t="inlineStr">
        <is>
          <t>山本 二郎</t>
        </is>
      </c>
      <c r="E24" s="3" t="inlineStr">
        <is>
          <t>山本企画 二郎</t>
        </is>
      </c>
      <c r="F24" s="3" t="inlineStr">
        <is>
          <t>customer023@example.jp</t>
        </is>
      </c>
      <c r="G24" s="9" t="n">
        <v>46074</v>
      </c>
      <c r="H24" s="9" t="n">
        <v>46088</v>
      </c>
      <c r="I24" s="10" t="n">
        <v>46073.69513888889</v>
      </c>
    </row>
    <row r="25">
      <c r="A25" s="8" t="n">
        <v>24</v>
      </c>
      <c r="B25" s="3" t="inlineStr">
        <is>
          <t>202602024</t>
        </is>
      </c>
      <c r="C25" s="3" t="inlineStr">
        <is>
          <t>加藤 彩</t>
        </is>
      </c>
      <c r="D25" s="3" t="inlineStr">
        <is>
          <t>佐々木 二郎</t>
        </is>
      </c>
      <c r="E25" s="3" t="inlineStr">
        <is>
          <t>佐々木企画 二郎</t>
        </is>
      </c>
      <c r="F25" s="3" t="inlineStr">
        <is>
          <t>customer024@example.jp</t>
        </is>
      </c>
      <c r="G25" s="9" t="n">
        <v>46076</v>
      </c>
      <c r="H25" s="9" t="n">
        <v>46083</v>
      </c>
      <c r="I25" s="10" t="n">
        <v>46075.40833333333</v>
      </c>
    </row>
    <row r="26">
      <c r="A26" s="8" t="n">
        <v>25</v>
      </c>
      <c r="B26" s="3" t="inlineStr">
        <is>
          <t>202602025</t>
        </is>
      </c>
      <c r="C26" s="3" t="inlineStr">
        <is>
          <t>木村 太郎</t>
        </is>
      </c>
      <c r="D26" s="3" t="inlineStr">
        <is>
          <t>山田 涼</t>
        </is>
      </c>
      <c r="E26" s="3" t="inlineStr">
        <is>
          <t>山田企画 涼</t>
        </is>
      </c>
      <c r="F26" s="3" t="inlineStr">
        <is>
          <t>customer025@example.jp</t>
        </is>
      </c>
      <c r="G26" s="9" t="n">
        <v>46078</v>
      </c>
      <c r="H26" s="9" t="n">
        <v>46086</v>
      </c>
      <c r="I26" s="10" t="n">
        <v>46077.45486111111</v>
      </c>
    </row>
    <row r="27">
      <c r="A27" s="8" t="n">
        <v>26</v>
      </c>
      <c r="B27" s="3" t="inlineStr">
        <is>
          <t>202602026</t>
        </is>
      </c>
      <c r="C27" s="3" t="inlineStr">
        <is>
          <t>佐藤 花子</t>
        </is>
      </c>
      <c r="D27" s="3" t="inlineStr">
        <is>
          <t>清水 恵</t>
        </is>
      </c>
      <c r="E27" s="3" t="inlineStr">
        <is>
          <t>清水企画 恵</t>
        </is>
      </c>
      <c r="F27" s="3" t="inlineStr">
        <is>
          <t>customer026@example.jp</t>
        </is>
      </c>
      <c r="G27" s="9" t="n">
        <v>46080</v>
      </c>
      <c r="H27" s="9" t="n">
        <v>46089</v>
      </c>
      <c r="I27" s="10" t="n">
        <v>46079.45972222222</v>
      </c>
    </row>
    <row r="28">
      <c r="A28" s="8" t="n">
        <v>27</v>
      </c>
      <c r="B28" s="3" t="inlineStr">
        <is>
          <t>202603027</t>
        </is>
      </c>
      <c r="C28" s="3" t="inlineStr">
        <is>
          <t>高橋 健</t>
        </is>
      </c>
      <c r="D28" s="3" t="inlineStr">
        <is>
          <t>田中 莉子</t>
        </is>
      </c>
      <c r="E28" s="3" t="inlineStr">
        <is>
          <t>田中企画 莉子</t>
        </is>
      </c>
      <c r="F28" s="3" t="inlineStr">
        <is>
          <t>customer027@example.jp</t>
        </is>
      </c>
      <c r="G28" s="9" t="n">
        <v>46082</v>
      </c>
      <c r="H28" s="9" t="n">
        <v>46092</v>
      </c>
      <c r="I28" s="10" t="n">
        <v>46081.50625</v>
      </c>
    </row>
    <row r="29">
      <c r="A29" s="8" t="n">
        <v>28</v>
      </c>
      <c r="B29" s="3" t="inlineStr">
        <is>
          <t>202603028</t>
        </is>
      </c>
      <c r="C29" s="3" t="inlineStr">
        <is>
          <t>鈴木 美咲</t>
        </is>
      </c>
      <c r="D29" s="3" t="inlineStr">
        <is>
          <t>松本 大輔</t>
        </is>
      </c>
      <c r="E29" s="3" t="inlineStr">
        <is>
          <t>松本企画 大輔</t>
        </is>
      </c>
      <c r="F29" s="3" t="inlineStr">
        <is>
          <t>customer028@example.jp</t>
        </is>
      </c>
      <c r="G29" s="9" t="n">
        <v>46084</v>
      </c>
      <c r="H29" s="9" t="n">
        <v>46095</v>
      </c>
      <c r="I29" s="10" t="n">
        <v>46083.55277777778</v>
      </c>
    </row>
    <row r="30">
      <c r="A30" s="8" t="n">
        <v>29</v>
      </c>
      <c r="B30" s="3" t="inlineStr">
        <is>
          <t>202603029</t>
        </is>
      </c>
      <c r="C30" s="3" t="inlineStr">
        <is>
          <t>伊藤 翔</t>
        </is>
      </c>
      <c r="D30" s="3" t="inlineStr">
        <is>
          <t>山本 遥</t>
        </is>
      </c>
      <c r="E30" s="3" t="inlineStr">
        <is>
          <t>山本企画 遥</t>
        </is>
      </c>
      <c r="F30" s="3" t="inlineStr">
        <is>
          <t>customer029@example.jp</t>
        </is>
      </c>
      <c r="G30" s="9" t="n">
        <v>46086</v>
      </c>
      <c r="H30" s="9" t="n">
        <v>46098</v>
      </c>
      <c r="I30" s="10" t="n">
        <v>46085.59930555556</v>
      </c>
    </row>
    <row r="31">
      <c r="A31" s="8" t="n">
        <v>30</v>
      </c>
      <c r="B31" s="3" t="inlineStr">
        <is>
          <t>202603030</t>
        </is>
      </c>
      <c r="C31" s="3" t="inlineStr">
        <is>
          <t>中村 優奈</t>
        </is>
      </c>
      <c r="D31" s="3" t="inlineStr">
        <is>
          <t>山本 大輔</t>
        </is>
      </c>
      <c r="E31" s="3" t="inlineStr">
        <is>
          <t>山本企画 大輔</t>
        </is>
      </c>
      <c r="F31" s="3" t="inlineStr">
        <is>
          <t>customer030@example.jp</t>
        </is>
      </c>
      <c r="G31" s="9" t="n">
        <v>46088</v>
      </c>
      <c r="H31" s="9" t="n">
        <v>46101</v>
      </c>
      <c r="I31" s="10" t="n">
        <v>46087.64583333334</v>
      </c>
    </row>
    <row r="32">
      <c r="A32" s="8" t="n">
        <v>31</v>
      </c>
      <c r="B32" s="3" t="inlineStr">
        <is>
          <t>202603031</t>
        </is>
      </c>
      <c r="C32" s="3" t="inlineStr">
        <is>
          <t>小林 陽介</t>
        </is>
      </c>
      <c r="D32" s="3" t="inlineStr">
        <is>
          <t>吉田 和也</t>
        </is>
      </c>
      <c r="E32" s="3" t="inlineStr">
        <is>
          <t>吉田企画 和也</t>
        </is>
      </c>
      <c r="F32" s="3" t="inlineStr">
        <is>
          <t>customer031@example.jp</t>
        </is>
      </c>
      <c r="G32" s="9" t="n">
        <v>46090</v>
      </c>
      <c r="H32" s="9" t="n">
        <v>46104</v>
      </c>
      <c r="I32" s="10" t="n">
        <v>46089.69236111111</v>
      </c>
    </row>
    <row r="33">
      <c r="A33" s="8" t="n">
        <v>32</v>
      </c>
      <c r="B33" s="3" t="inlineStr">
        <is>
          <t>202603032</t>
        </is>
      </c>
      <c r="C33" s="3" t="inlineStr">
        <is>
          <t>加藤 彩</t>
        </is>
      </c>
      <c r="D33" s="3" t="inlineStr">
        <is>
          <t>清水 涼</t>
        </is>
      </c>
      <c r="E33" s="3" t="inlineStr">
        <is>
          <t>清水企画 涼</t>
        </is>
      </c>
      <c r="F33" s="3" t="inlineStr">
        <is>
          <t>customer032@example.jp</t>
        </is>
      </c>
      <c r="G33" s="9" t="n">
        <v>46092</v>
      </c>
      <c r="H33" s="9" t="n">
        <v>46099</v>
      </c>
      <c r="I33" s="10" t="n">
        <v>46091.40555555555</v>
      </c>
    </row>
    <row r="34">
      <c r="A34" s="8" t="n">
        <v>33</v>
      </c>
      <c r="B34" s="3" t="inlineStr">
        <is>
          <t>202603033</t>
        </is>
      </c>
      <c r="C34" s="3" t="inlineStr">
        <is>
          <t>木村 太郎</t>
        </is>
      </c>
      <c r="D34" s="3" t="inlineStr">
        <is>
          <t>清水 愛</t>
        </is>
      </c>
      <c r="E34" s="3" t="inlineStr">
        <is>
          <t>清水企画 愛</t>
        </is>
      </c>
      <c r="F34" s="3" t="inlineStr">
        <is>
          <t>customer033@example.jp</t>
        </is>
      </c>
      <c r="G34" s="9" t="n">
        <v>46094</v>
      </c>
      <c r="H34" s="9" t="n">
        <v>46102</v>
      </c>
      <c r="I34" s="10" t="n">
        <v>46093.45208333333</v>
      </c>
    </row>
    <row r="35">
      <c r="A35" s="8" t="n">
        <v>34</v>
      </c>
      <c r="B35" s="3" t="inlineStr">
        <is>
          <t>202603034</t>
        </is>
      </c>
      <c r="C35" s="3" t="inlineStr">
        <is>
          <t>佐藤 花子</t>
        </is>
      </c>
      <c r="D35" s="3" t="inlineStr">
        <is>
          <t>池田 二郎</t>
        </is>
      </c>
      <c r="E35" s="3" t="inlineStr">
        <is>
          <t>池田企画 二郎</t>
        </is>
      </c>
      <c r="F35" s="3" t="inlineStr">
        <is>
          <t>customer034@example.jp</t>
        </is>
      </c>
      <c r="G35" s="9" t="n">
        <v>46096</v>
      </c>
      <c r="H35" s="9" t="n">
        <v>46105</v>
      </c>
      <c r="I35" s="10" t="n">
        <v>46095.49861111111</v>
      </c>
    </row>
    <row r="36">
      <c r="A36" s="8" t="n">
        <v>35</v>
      </c>
      <c r="B36" s="3" t="inlineStr">
        <is>
          <t>202603035</t>
        </is>
      </c>
      <c r="C36" s="3" t="inlineStr">
        <is>
          <t>高橋 健</t>
        </is>
      </c>
      <c r="D36" s="3" t="inlineStr">
        <is>
          <t>田中 和也</t>
        </is>
      </c>
      <c r="E36" s="3" t="inlineStr">
        <is>
          <t>田中企画 和也</t>
        </is>
      </c>
      <c r="F36" s="3" t="inlineStr">
        <is>
          <t>customer035@example.jp</t>
        </is>
      </c>
      <c r="G36" s="9" t="n">
        <v>46098</v>
      </c>
      <c r="H36" s="9" t="n">
        <v>46108</v>
      </c>
      <c r="I36" s="10" t="n">
        <v>46097.50347222222</v>
      </c>
    </row>
    <row r="37">
      <c r="A37" s="8" t="n">
        <v>36</v>
      </c>
      <c r="B37" s="3" t="inlineStr">
        <is>
          <t>202603036</t>
        </is>
      </c>
      <c r="C37" s="3" t="inlineStr">
        <is>
          <t>鈴木 美咲</t>
        </is>
      </c>
      <c r="D37" s="3" t="inlineStr">
        <is>
          <t>伊藤 恵</t>
        </is>
      </c>
      <c r="E37" s="3" t="inlineStr">
        <is>
          <t>伊藤企画 恵</t>
        </is>
      </c>
      <c r="F37" s="3" t="inlineStr">
        <is>
          <t>customer036@example.jp</t>
        </is>
      </c>
      <c r="G37" s="9" t="n">
        <v>46100</v>
      </c>
      <c r="H37" s="9" t="n">
        <v>46111</v>
      </c>
      <c r="I37" s="10" t="n">
        <v>46099.55</v>
      </c>
    </row>
    <row r="38">
      <c r="A38" s="8" t="n">
        <v>37</v>
      </c>
      <c r="B38" s="3" t="inlineStr">
        <is>
          <t>202603037</t>
        </is>
      </c>
      <c r="C38" s="3" t="inlineStr">
        <is>
          <t>伊藤 翔</t>
        </is>
      </c>
      <c r="D38" s="3" t="inlineStr">
        <is>
          <t>山本 愛</t>
        </is>
      </c>
      <c r="E38" s="3" t="inlineStr">
        <is>
          <t>山本企画 愛</t>
        </is>
      </c>
      <c r="F38" s="3" t="inlineStr">
        <is>
          <t>customer037@example.jp</t>
        </is>
      </c>
      <c r="G38" s="9" t="n">
        <v>46102</v>
      </c>
      <c r="H38" s="9" t="n">
        <v>46114</v>
      </c>
      <c r="I38" s="10" t="n">
        <v>46101.59652777778</v>
      </c>
    </row>
    <row r="39">
      <c r="A39" s="8" t="n">
        <v>38</v>
      </c>
      <c r="B39" s="3" t="inlineStr">
        <is>
          <t>202603038</t>
        </is>
      </c>
      <c r="C39" s="3" t="inlineStr">
        <is>
          <t>中村 優奈</t>
        </is>
      </c>
      <c r="D39" s="3" t="inlineStr">
        <is>
          <t>山本 遥</t>
        </is>
      </c>
      <c r="E39" s="3" t="inlineStr">
        <is>
          <t>山本企画 遥</t>
        </is>
      </c>
      <c r="F39" s="3" t="inlineStr">
        <is>
          <t>customer038@example.jp</t>
        </is>
      </c>
      <c r="G39" s="9" t="n">
        <v>46104</v>
      </c>
      <c r="H39" s="9" t="n">
        <v>46117</v>
      </c>
      <c r="I39" s="10" t="n">
        <v>46103.64305555556</v>
      </c>
    </row>
    <row r="40">
      <c r="A40" s="8" t="n">
        <v>39</v>
      </c>
      <c r="B40" s="3" t="inlineStr">
        <is>
          <t>202603039</t>
        </is>
      </c>
      <c r="C40" s="3" t="inlineStr">
        <is>
          <t>小林 陽介</t>
        </is>
      </c>
      <c r="D40" s="3" t="inlineStr">
        <is>
          <t>吉田 奏</t>
        </is>
      </c>
      <c r="E40" s="3" t="inlineStr">
        <is>
          <t>吉田企画 奏</t>
        </is>
      </c>
      <c r="F40" s="3" t="inlineStr">
        <is>
          <t>customer039@example.jp</t>
        </is>
      </c>
      <c r="G40" s="9" t="n">
        <v>46106</v>
      </c>
      <c r="H40" s="9" t="n">
        <v>46120</v>
      </c>
      <c r="I40" s="10" t="n">
        <v>46105.68958333333</v>
      </c>
    </row>
    <row r="41">
      <c r="A41" s="8" t="n">
        <v>40</v>
      </c>
      <c r="B41" s="3" t="inlineStr">
        <is>
          <t>202603040</t>
        </is>
      </c>
      <c r="C41" s="3" t="inlineStr">
        <is>
          <t>加藤 彩</t>
        </is>
      </c>
      <c r="D41" s="3" t="inlineStr">
        <is>
          <t>林 涼</t>
        </is>
      </c>
      <c r="E41" s="3" t="inlineStr">
        <is>
          <t>林企画 涼</t>
        </is>
      </c>
      <c r="F41" s="3" t="inlineStr">
        <is>
          <t>customer040@example.jp</t>
        </is>
      </c>
      <c r="G41" s="9" t="n">
        <v>46108</v>
      </c>
      <c r="H41" s="9" t="n">
        <v>46115</v>
      </c>
      <c r="I41" s="10" t="n">
        <v>46107.40277777778</v>
      </c>
    </row>
    <row r="42">
      <c r="A42" s="8" t="n">
        <v>41</v>
      </c>
      <c r="B42" s="3" t="inlineStr">
        <is>
          <t>202603041</t>
        </is>
      </c>
      <c r="C42" s="3" t="inlineStr">
        <is>
          <t>木村 太郎</t>
        </is>
      </c>
      <c r="D42" s="3" t="inlineStr">
        <is>
          <t>渡辺 涼</t>
        </is>
      </c>
      <c r="E42" s="3" t="inlineStr">
        <is>
          <t>渡辺企画 涼</t>
        </is>
      </c>
      <c r="F42" s="3" t="inlineStr">
        <is>
          <t>customer041@example.jp</t>
        </is>
      </c>
      <c r="G42" s="9" t="n">
        <v>46110</v>
      </c>
      <c r="H42" s="9" t="n">
        <v>46118</v>
      </c>
      <c r="I42" s="10" t="n">
        <v>46109.44930555556</v>
      </c>
    </row>
    <row r="43">
      <c r="A43" s="8" t="n">
        <v>42</v>
      </c>
      <c r="B43" s="3" t="inlineStr">
        <is>
          <t>202603042</t>
        </is>
      </c>
      <c r="C43" s="3" t="inlineStr">
        <is>
          <t>佐藤 花子</t>
        </is>
      </c>
      <c r="D43" s="3" t="inlineStr">
        <is>
          <t>山田 愛</t>
        </is>
      </c>
      <c r="E43" s="3" t="inlineStr">
        <is>
          <t>山田企画 愛</t>
        </is>
      </c>
      <c r="F43" s="3" t="inlineStr">
        <is>
          <t>customer042@example.jp</t>
        </is>
      </c>
      <c r="G43" s="9" t="n">
        <v>46112</v>
      </c>
      <c r="H43" s="9" t="n">
        <v>46121</v>
      </c>
      <c r="I43" s="10" t="n">
        <v>46111.49583333333</v>
      </c>
    </row>
    <row r="44">
      <c r="A44" s="8" t="n">
        <v>43</v>
      </c>
      <c r="B44" s="3" t="inlineStr">
        <is>
          <t>202604043</t>
        </is>
      </c>
      <c r="C44" s="3" t="inlineStr">
        <is>
          <t>高橋 健</t>
        </is>
      </c>
      <c r="D44" s="3" t="inlineStr">
        <is>
          <t>林 恵</t>
        </is>
      </c>
      <c r="E44" s="3" t="inlineStr">
        <is>
          <t>林企画 恵</t>
        </is>
      </c>
      <c r="F44" s="3" t="inlineStr">
        <is>
          <t>customer043@example.jp</t>
        </is>
      </c>
      <c r="G44" s="9" t="n">
        <v>46114</v>
      </c>
      <c r="H44" s="9" t="n">
        <v>46124</v>
      </c>
      <c r="I44" s="10" t="n">
        <v>46113.50069444445</v>
      </c>
    </row>
    <row r="45">
      <c r="A45" s="8" t="n">
        <v>44</v>
      </c>
      <c r="B45" s="3" t="inlineStr">
        <is>
          <t>202604044</t>
        </is>
      </c>
      <c r="C45" s="3" t="inlineStr">
        <is>
          <t>鈴木 美咲</t>
        </is>
      </c>
      <c r="D45" s="3" t="inlineStr">
        <is>
          <t>池田 和也</t>
        </is>
      </c>
      <c r="E45" s="3" t="inlineStr">
        <is>
          <t>池田企画 和也</t>
        </is>
      </c>
      <c r="F45" s="3" t="inlineStr">
        <is>
          <t>customer044@example.jp</t>
        </is>
      </c>
      <c r="G45" s="9" t="n">
        <v>46116</v>
      </c>
      <c r="H45" s="9" t="n">
        <v>46127</v>
      </c>
      <c r="I45" s="10" t="n">
        <v>46115.54722222222</v>
      </c>
    </row>
    <row r="46">
      <c r="A46" s="8" t="n">
        <v>45</v>
      </c>
      <c r="B46" s="3" t="inlineStr">
        <is>
          <t>202604045</t>
        </is>
      </c>
      <c r="C46" s="3" t="inlineStr">
        <is>
          <t>伊藤 翔</t>
        </is>
      </c>
      <c r="D46" s="3" t="inlineStr">
        <is>
          <t>林 二郎</t>
        </is>
      </c>
      <c r="E46" s="3" t="inlineStr">
        <is>
          <t>林企画 二郎</t>
        </is>
      </c>
      <c r="F46" s="3" t="inlineStr">
        <is>
          <t>customer045@example.jp</t>
        </is>
      </c>
      <c r="G46" s="9" t="n">
        <v>46118</v>
      </c>
      <c r="H46" s="9" t="n">
        <v>46130</v>
      </c>
      <c r="I46" s="10" t="n">
        <v>46117.59375</v>
      </c>
    </row>
    <row r="47">
      <c r="A47" s="8" t="n">
        <v>46</v>
      </c>
      <c r="B47" s="3" t="inlineStr">
        <is>
          <t>202604046</t>
        </is>
      </c>
      <c r="C47" s="3" t="inlineStr">
        <is>
          <t>中村 優奈</t>
        </is>
      </c>
      <c r="D47" s="3" t="inlineStr">
        <is>
          <t>清水 和也</t>
        </is>
      </c>
      <c r="E47" s="3" t="inlineStr">
        <is>
          <t>清水企画 和也</t>
        </is>
      </c>
      <c r="F47" s="3" t="inlineStr">
        <is>
          <t>customer046@example.jp</t>
        </is>
      </c>
      <c r="G47" s="9" t="n">
        <v>46120</v>
      </c>
      <c r="H47" s="9" t="n">
        <v>46133</v>
      </c>
      <c r="I47" s="10" t="n">
        <v>46119.64027777778</v>
      </c>
    </row>
    <row r="48">
      <c r="A48" s="8" t="n">
        <v>47</v>
      </c>
      <c r="B48" s="3" t="inlineStr">
        <is>
          <t>202604047</t>
        </is>
      </c>
      <c r="C48" s="3" t="inlineStr">
        <is>
          <t>小林 陽介</t>
        </is>
      </c>
      <c r="D48" s="3" t="inlineStr">
        <is>
          <t>渡辺 大輔</t>
        </is>
      </c>
      <c r="E48" s="3" t="inlineStr">
        <is>
          <t>渡辺企画 大輔</t>
        </is>
      </c>
      <c r="F48" s="3" t="inlineStr">
        <is>
          <t>customer047@example.jp</t>
        </is>
      </c>
      <c r="G48" s="9" t="n">
        <v>46122</v>
      </c>
      <c r="H48" s="9" t="n">
        <v>46136</v>
      </c>
      <c r="I48" s="10" t="n">
        <v>46121.68680555555</v>
      </c>
    </row>
    <row r="49">
      <c r="A49" s="8" t="n">
        <v>48</v>
      </c>
      <c r="B49" s="3" t="inlineStr">
        <is>
          <t>202604048</t>
        </is>
      </c>
      <c r="C49" s="3" t="inlineStr">
        <is>
          <t>加藤 彩</t>
        </is>
      </c>
      <c r="D49" s="3" t="inlineStr">
        <is>
          <t>池田 愛</t>
        </is>
      </c>
      <c r="E49" s="3" t="inlineStr">
        <is>
          <t>池田企画 愛</t>
        </is>
      </c>
      <c r="F49" s="3" t="inlineStr">
        <is>
          <t>customer048@example.jp</t>
        </is>
      </c>
      <c r="G49" s="9" t="n">
        <v>46124</v>
      </c>
      <c r="H49" s="9" t="n">
        <v>46131</v>
      </c>
      <c r="I49" s="10" t="n">
        <v>46123.4</v>
      </c>
    </row>
    <row r="50">
      <c r="A50" s="8" t="n">
        <v>49</v>
      </c>
      <c r="B50" s="3" t="inlineStr">
        <is>
          <t>202604049</t>
        </is>
      </c>
      <c r="C50" s="3" t="inlineStr">
        <is>
          <t>木村 太郎</t>
        </is>
      </c>
      <c r="D50" s="3" t="inlineStr">
        <is>
          <t>渡辺 奏</t>
        </is>
      </c>
      <c r="E50" s="3" t="inlineStr">
        <is>
          <t>渡辺企画 奏</t>
        </is>
      </c>
      <c r="F50" s="3" t="inlineStr">
        <is>
          <t>customer049@example.jp</t>
        </is>
      </c>
      <c r="G50" s="9" t="n">
        <v>46126</v>
      </c>
      <c r="H50" s="9" t="n">
        <v>46134</v>
      </c>
      <c r="I50" s="10" t="n">
        <v>46125.44652777778</v>
      </c>
    </row>
    <row r="51">
      <c r="A51" s="8" t="n">
        <v>50</v>
      </c>
      <c r="B51" s="3" t="inlineStr">
        <is>
          <t>202604050</t>
        </is>
      </c>
      <c r="C51" s="3" t="inlineStr">
        <is>
          <t>佐藤 花子</t>
        </is>
      </c>
      <c r="D51" s="3" t="inlineStr">
        <is>
          <t>佐々木 恵</t>
        </is>
      </c>
      <c r="E51" s="3" t="inlineStr">
        <is>
          <t>佐々木企画 恵</t>
        </is>
      </c>
      <c r="F51" s="3" t="inlineStr">
        <is>
          <t>customer050@example.jp</t>
        </is>
      </c>
      <c r="G51" s="9" t="n">
        <v>46128</v>
      </c>
      <c r="H51" s="9" t="n">
        <v>46137</v>
      </c>
      <c r="I51" s="10" t="n">
        <v>46127.49305555555</v>
      </c>
    </row>
    <row r="52">
      <c r="A52" s="8" t="n">
        <v>51</v>
      </c>
      <c r="B52" s="3" t="inlineStr">
        <is>
          <t>202604051</t>
        </is>
      </c>
      <c r="C52" s="3" t="inlineStr">
        <is>
          <t>高橋 健</t>
        </is>
      </c>
      <c r="D52" s="3" t="inlineStr">
        <is>
          <t>林 莉子</t>
        </is>
      </c>
      <c r="E52" s="3" t="inlineStr">
        <is>
          <t>林企画 莉子</t>
        </is>
      </c>
      <c r="F52" s="3" t="inlineStr">
        <is>
          <t>customer051@example.jp</t>
        </is>
      </c>
      <c r="G52" s="9" t="n">
        <v>46130</v>
      </c>
      <c r="H52" s="9" t="n">
        <v>46140</v>
      </c>
      <c r="I52" s="10" t="n">
        <v>46129.53958333333</v>
      </c>
    </row>
    <row r="53">
      <c r="A53" s="8" t="n">
        <v>52</v>
      </c>
      <c r="B53" s="3" t="inlineStr">
        <is>
          <t>202604052</t>
        </is>
      </c>
      <c r="C53" s="3" t="inlineStr">
        <is>
          <t>鈴木 美咲</t>
        </is>
      </c>
      <c r="D53" s="3" t="inlineStr">
        <is>
          <t>井上 愛</t>
        </is>
      </c>
      <c r="E53" s="3" t="inlineStr">
        <is>
          <t>井上企画 愛</t>
        </is>
      </c>
      <c r="F53" s="3" t="inlineStr">
        <is>
          <t>customer052@example.jp</t>
        </is>
      </c>
      <c r="G53" s="9" t="n">
        <v>46132</v>
      </c>
      <c r="H53" s="9" t="n">
        <v>46143</v>
      </c>
      <c r="I53" s="10" t="n">
        <v>46131.54444444444</v>
      </c>
    </row>
    <row r="54">
      <c r="A54" s="8" t="n">
        <v>53</v>
      </c>
      <c r="B54" s="3" t="inlineStr">
        <is>
          <t>202604053</t>
        </is>
      </c>
      <c r="C54" s="3" t="inlineStr">
        <is>
          <t>伊藤 翔</t>
        </is>
      </c>
      <c r="D54" s="3" t="inlineStr">
        <is>
          <t>林 涼</t>
        </is>
      </c>
      <c r="E54" s="3" t="inlineStr">
        <is>
          <t>林企画 涼</t>
        </is>
      </c>
      <c r="F54" s="3" t="inlineStr">
        <is>
          <t>customer053@example.jp</t>
        </is>
      </c>
      <c r="G54" s="9" t="n">
        <v>46134</v>
      </c>
      <c r="H54" s="9" t="n">
        <v>46146</v>
      </c>
      <c r="I54" s="10" t="n">
        <v>46133.59097222222</v>
      </c>
    </row>
    <row r="55">
      <c r="A55" s="8" t="n">
        <v>54</v>
      </c>
      <c r="B55" s="3" t="inlineStr">
        <is>
          <t>202604054</t>
        </is>
      </c>
      <c r="C55" s="3" t="inlineStr">
        <is>
          <t>中村 優奈</t>
        </is>
      </c>
      <c r="D55" s="3" t="inlineStr">
        <is>
          <t>田中 愛</t>
        </is>
      </c>
      <c r="E55" s="3" t="inlineStr">
        <is>
          <t>田中企画 愛</t>
        </is>
      </c>
      <c r="F55" s="3" t="inlineStr">
        <is>
          <t>customer054@example.jp</t>
        </is>
      </c>
      <c r="G55" s="9" t="n">
        <v>46136</v>
      </c>
      <c r="H55" s="9" t="n">
        <v>46149</v>
      </c>
      <c r="I55" s="10" t="n">
        <v>46135.6375</v>
      </c>
    </row>
    <row r="56">
      <c r="A56" s="8" t="n">
        <v>55</v>
      </c>
      <c r="B56" s="3" t="inlineStr">
        <is>
          <t>202604055</t>
        </is>
      </c>
      <c r="C56" s="3" t="inlineStr">
        <is>
          <t>小林 陽介</t>
        </is>
      </c>
      <c r="D56" s="3" t="inlineStr">
        <is>
          <t>田中 涼</t>
        </is>
      </c>
      <c r="E56" s="3" t="inlineStr">
        <is>
          <t>田中企画 涼</t>
        </is>
      </c>
      <c r="F56" s="3" t="inlineStr">
        <is>
          <t>customer055@example.jp</t>
        </is>
      </c>
      <c r="G56" s="9" t="n">
        <v>46138</v>
      </c>
      <c r="H56" s="9" t="n">
        <v>46152</v>
      </c>
      <c r="I56" s="10" t="n">
        <v>46137.68402777778</v>
      </c>
    </row>
    <row r="57">
      <c r="A57" s="8" t="n">
        <v>56</v>
      </c>
      <c r="B57" s="3" t="inlineStr">
        <is>
          <t>202604056</t>
        </is>
      </c>
      <c r="C57" s="3" t="inlineStr">
        <is>
          <t>加藤 彩</t>
        </is>
      </c>
      <c r="D57" s="3" t="inlineStr">
        <is>
          <t>佐々木 恵</t>
        </is>
      </c>
      <c r="E57" s="3" t="inlineStr">
        <is>
          <t>佐々木企画 恵</t>
        </is>
      </c>
      <c r="F57" s="3" t="inlineStr">
        <is>
          <t>customer056@example.jp</t>
        </is>
      </c>
      <c r="G57" s="9" t="n">
        <v>46140</v>
      </c>
      <c r="H57" s="9" t="n">
        <v>46147</v>
      </c>
      <c r="I57" s="10" t="n">
        <v>46139.39722222222</v>
      </c>
    </row>
    <row r="58">
      <c r="A58" s="8" t="n">
        <v>57</v>
      </c>
      <c r="B58" s="3" t="inlineStr">
        <is>
          <t>202604057</t>
        </is>
      </c>
      <c r="C58" s="3" t="inlineStr">
        <is>
          <t>木村 太郎</t>
        </is>
      </c>
      <c r="D58" s="3" t="inlineStr">
        <is>
          <t>山本 愛</t>
        </is>
      </c>
      <c r="E58" s="3" t="inlineStr">
        <is>
          <t>山本企画 愛</t>
        </is>
      </c>
      <c r="F58" s="3" t="inlineStr">
        <is>
          <t>customer057@example.jp</t>
        </is>
      </c>
      <c r="G58" s="9" t="n">
        <v>46142</v>
      </c>
      <c r="H58" s="9" t="n">
        <v>46150</v>
      </c>
      <c r="I58" s="10" t="n">
        <v>46141.44375</v>
      </c>
    </row>
    <row r="59">
      <c r="A59" s="8" t="n">
        <v>58</v>
      </c>
      <c r="B59" s="3" t="inlineStr">
        <is>
          <t>202605058</t>
        </is>
      </c>
      <c r="C59" s="3" t="inlineStr">
        <is>
          <t>佐藤 花子</t>
        </is>
      </c>
      <c r="D59" s="3" t="inlineStr">
        <is>
          <t>清水 莉子</t>
        </is>
      </c>
      <c r="E59" s="3" t="inlineStr">
        <is>
          <t>清水企画 莉子</t>
        </is>
      </c>
      <c r="F59" s="3" t="inlineStr">
        <is>
          <t>customer058@example.jp</t>
        </is>
      </c>
      <c r="G59" s="9" t="n">
        <v>46144</v>
      </c>
      <c r="H59" s="9" t="n">
        <v>46153</v>
      </c>
      <c r="I59" s="10" t="n">
        <v>46143.49027777778</v>
      </c>
    </row>
    <row r="60">
      <c r="A60" s="8" t="n">
        <v>59</v>
      </c>
      <c r="B60" s="3" t="inlineStr">
        <is>
          <t>202605059</t>
        </is>
      </c>
      <c r="C60" s="3" t="inlineStr">
        <is>
          <t>高橋 健</t>
        </is>
      </c>
      <c r="D60" s="3" t="inlineStr">
        <is>
          <t>山田 愛</t>
        </is>
      </c>
      <c r="E60" s="3" t="inlineStr">
        <is>
          <t>山田企画 愛</t>
        </is>
      </c>
      <c r="F60" s="3" t="inlineStr">
        <is>
          <t>customer059@example.jp</t>
        </is>
      </c>
      <c r="G60" s="9" t="n">
        <v>46146</v>
      </c>
      <c r="H60" s="9" t="n">
        <v>46156</v>
      </c>
      <c r="I60" s="10" t="n">
        <v>46145.53680555556</v>
      </c>
    </row>
    <row r="61">
      <c r="A61" s="8" t="n">
        <v>60</v>
      </c>
      <c r="B61" s="3" t="inlineStr">
        <is>
          <t>202605060</t>
        </is>
      </c>
      <c r="C61" s="3" t="inlineStr">
        <is>
          <t>鈴木 美咲</t>
        </is>
      </c>
      <c r="D61" s="3" t="inlineStr">
        <is>
          <t>林 奏</t>
        </is>
      </c>
      <c r="E61" s="3" t="inlineStr">
        <is>
          <t>林企画 奏</t>
        </is>
      </c>
      <c r="F61" s="3" t="inlineStr">
        <is>
          <t>customer060@example.jp</t>
        </is>
      </c>
      <c r="G61" s="9" t="n">
        <v>46148</v>
      </c>
      <c r="H61" s="9" t="n">
        <v>46159</v>
      </c>
      <c r="I61" s="10" t="n">
        <v>46147.54166666666</v>
      </c>
    </row>
    <row r="62">
      <c r="A62" s="8" t="n">
        <v>61</v>
      </c>
      <c r="B62" s="3" t="inlineStr">
        <is>
          <t>202605061</t>
        </is>
      </c>
      <c r="C62" s="3" t="inlineStr">
        <is>
          <t>伊藤 翔</t>
        </is>
      </c>
      <c r="D62" s="3" t="inlineStr">
        <is>
          <t>佐々木 和也</t>
        </is>
      </c>
      <c r="E62" s="3" t="inlineStr">
        <is>
          <t>佐々木企画 和也</t>
        </is>
      </c>
      <c r="F62" s="3" t="inlineStr">
        <is>
          <t>customer061@example.jp</t>
        </is>
      </c>
      <c r="G62" s="9" t="n">
        <v>46150</v>
      </c>
      <c r="H62" s="9" t="n">
        <v>46162</v>
      </c>
      <c r="I62" s="10" t="n">
        <v>46149.58819444444</v>
      </c>
    </row>
    <row r="63">
      <c r="A63" s="8" t="n">
        <v>62</v>
      </c>
      <c r="B63" s="3" t="inlineStr">
        <is>
          <t>202605062</t>
        </is>
      </c>
      <c r="C63" s="3" t="inlineStr">
        <is>
          <t>中村 優奈</t>
        </is>
      </c>
      <c r="D63" s="3" t="inlineStr">
        <is>
          <t>松本 美咲</t>
        </is>
      </c>
      <c r="E63" s="3" t="inlineStr">
        <is>
          <t>松本企画 美咲</t>
        </is>
      </c>
      <c r="F63" s="3" t="inlineStr">
        <is>
          <t>customer062@example.jp</t>
        </is>
      </c>
      <c r="G63" s="9" t="n">
        <v>46152</v>
      </c>
      <c r="H63" s="9" t="n">
        <v>46165</v>
      </c>
      <c r="I63" s="10" t="n">
        <v>46151.63472222222</v>
      </c>
    </row>
    <row r="64">
      <c r="A64" s="8" t="n">
        <v>63</v>
      </c>
      <c r="B64" s="3" t="inlineStr">
        <is>
          <t>202605063</t>
        </is>
      </c>
      <c r="C64" s="3" t="inlineStr">
        <is>
          <t>小林 陽介</t>
        </is>
      </c>
      <c r="D64" s="3" t="inlineStr">
        <is>
          <t>吉田 美咲</t>
        </is>
      </c>
      <c r="E64" s="3" t="inlineStr">
        <is>
          <t>吉田企画 美咲</t>
        </is>
      </c>
      <c r="F64" s="3" t="inlineStr">
        <is>
          <t>customer063@example.jp</t>
        </is>
      </c>
      <c r="G64" s="9" t="n">
        <v>46154</v>
      </c>
      <c r="H64" s="9" t="n">
        <v>46168</v>
      </c>
      <c r="I64" s="10" t="n">
        <v>46153.68125</v>
      </c>
    </row>
    <row r="65">
      <c r="A65" s="8" t="n">
        <v>64</v>
      </c>
      <c r="B65" s="3" t="inlineStr">
        <is>
          <t>202605064</t>
        </is>
      </c>
      <c r="C65" s="3" t="inlineStr">
        <is>
          <t>加藤 彩</t>
        </is>
      </c>
      <c r="D65" s="3" t="inlineStr">
        <is>
          <t>伊藤 莉子</t>
        </is>
      </c>
      <c r="E65" s="3" t="inlineStr">
        <is>
          <t>伊藤企画 莉子</t>
        </is>
      </c>
      <c r="F65" s="3" t="inlineStr">
        <is>
          <t>customer064@example.jp</t>
        </is>
      </c>
      <c r="G65" s="9" t="n">
        <v>46156</v>
      </c>
      <c r="H65" s="9" t="n">
        <v>46163</v>
      </c>
      <c r="I65" s="10" t="n">
        <v>46155.39444444444</v>
      </c>
    </row>
    <row r="66">
      <c r="A66" s="8" t="n">
        <v>65</v>
      </c>
      <c r="B66" s="3" t="inlineStr">
        <is>
          <t>202605065</t>
        </is>
      </c>
      <c r="C66" s="3" t="inlineStr">
        <is>
          <t>木村 太郎</t>
        </is>
      </c>
      <c r="D66" s="3" t="inlineStr">
        <is>
          <t>井上 大輔</t>
        </is>
      </c>
      <c r="E66" s="3" t="inlineStr">
        <is>
          <t>井上企画 大輔</t>
        </is>
      </c>
      <c r="F66" s="3" t="inlineStr">
        <is>
          <t>customer065@example.jp</t>
        </is>
      </c>
      <c r="G66" s="9" t="n">
        <v>46158</v>
      </c>
      <c r="H66" s="9" t="n">
        <v>46166</v>
      </c>
      <c r="I66" s="10" t="n">
        <v>46157.44097222222</v>
      </c>
    </row>
    <row r="67">
      <c r="A67" s="8" t="n">
        <v>66</v>
      </c>
      <c r="B67" s="3" t="inlineStr">
        <is>
          <t>202605066</t>
        </is>
      </c>
      <c r="C67" s="3" t="inlineStr">
        <is>
          <t>佐藤 花子</t>
        </is>
      </c>
      <c r="D67" s="3" t="inlineStr">
        <is>
          <t>吉田 莉子</t>
        </is>
      </c>
      <c r="E67" s="3" t="inlineStr">
        <is>
          <t>吉田企画 莉子</t>
        </is>
      </c>
      <c r="F67" s="3" t="inlineStr">
        <is>
          <t>customer066@example.jp</t>
        </is>
      </c>
      <c r="G67" s="9" t="n">
        <v>46160</v>
      </c>
      <c r="H67" s="9" t="n">
        <v>46169</v>
      </c>
      <c r="I67" s="10" t="n">
        <v>46159.4875</v>
      </c>
    </row>
    <row r="68">
      <c r="A68" s="8" t="n">
        <v>67</v>
      </c>
      <c r="B68" s="3" t="inlineStr">
        <is>
          <t>202605067</t>
        </is>
      </c>
      <c r="C68" s="3" t="inlineStr">
        <is>
          <t>高橋 健</t>
        </is>
      </c>
      <c r="D68" s="3" t="inlineStr">
        <is>
          <t>清水 遥</t>
        </is>
      </c>
      <c r="E68" s="3" t="inlineStr">
        <is>
          <t>清水企画 遥</t>
        </is>
      </c>
      <c r="F68" s="3" t="inlineStr">
        <is>
          <t>customer067@example.jp</t>
        </is>
      </c>
      <c r="G68" s="9" t="n">
        <v>46162</v>
      </c>
      <c r="H68" s="9" t="n">
        <v>46172</v>
      </c>
      <c r="I68" s="10" t="n">
        <v>46161.53402777778</v>
      </c>
    </row>
    <row r="69">
      <c r="A69" s="8" t="n">
        <v>68</v>
      </c>
      <c r="B69" s="3" t="inlineStr">
        <is>
          <t>202605068</t>
        </is>
      </c>
      <c r="C69" s="3" t="inlineStr">
        <is>
          <t>鈴木 美咲</t>
        </is>
      </c>
      <c r="D69" s="3" t="inlineStr">
        <is>
          <t>清水 遥</t>
        </is>
      </c>
      <c r="E69" s="3" t="inlineStr">
        <is>
          <t>清水企画 遥</t>
        </is>
      </c>
      <c r="F69" s="3" t="inlineStr">
        <is>
          <t>customer068@example.jp</t>
        </is>
      </c>
      <c r="G69" s="9" t="n">
        <v>46164</v>
      </c>
      <c r="H69" s="9" t="n">
        <v>46175</v>
      </c>
      <c r="I69" s="10" t="n">
        <v>46163.58055555556</v>
      </c>
    </row>
    <row r="70">
      <c r="A70" s="8" t="n">
        <v>69</v>
      </c>
      <c r="B70" s="3" t="inlineStr">
        <is>
          <t>202605069</t>
        </is>
      </c>
      <c r="C70" s="3" t="inlineStr">
        <is>
          <t>伊藤 翔</t>
        </is>
      </c>
      <c r="D70" s="3" t="inlineStr">
        <is>
          <t>山田 愛</t>
        </is>
      </c>
      <c r="E70" s="3" t="inlineStr">
        <is>
          <t>山田企画 愛</t>
        </is>
      </c>
      <c r="F70" s="3" t="inlineStr">
        <is>
          <t>customer069@example.jp</t>
        </is>
      </c>
      <c r="G70" s="9" t="n">
        <v>46166</v>
      </c>
      <c r="H70" s="9" t="n">
        <v>46178</v>
      </c>
      <c r="I70" s="10" t="n">
        <v>46165.58541666667</v>
      </c>
    </row>
    <row r="71">
      <c r="A71" s="8" t="n">
        <v>70</v>
      </c>
      <c r="B71" s="3" t="inlineStr">
        <is>
          <t>202605070</t>
        </is>
      </c>
      <c r="C71" s="3" t="inlineStr">
        <is>
          <t>中村 優奈</t>
        </is>
      </c>
      <c r="D71" s="3" t="inlineStr">
        <is>
          <t>渡辺 大輔</t>
        </is>
      </c>
      <c r="E71" s="3" t="inlineStr">
        <is>
          <t>渡辺企画 大輔</t>
        </is>
      </c>
      <c r="F71" s="3" t="inlineStr">
        <is>
          <t>customer070@example.jp</t>
        </is>
      </c>
      <c r="G71" s="9" t="n">
        <v>46168</v>
      </c>
      <c r="H71" s="9" t="n">
        <v>46181</v>
      </c>
      <c r="I71" s="10" t="n">
        <v>46167.63194444445</v>
      </c>
    </row>
    <row r="72">
      <c r="A72" s="8" t="n">
        <v>71</v>
      </c>
      <c r="B72" s="3" t="inlineStr">
        <is>
          <t>202605071</t>
        </is>
      </c>
      <c r="C72" s="3" t="inlineStr">
        <is>
          <t>小林 陽介</t>
        </is>
      </c>
      <c r="D72" s="3" t="inlineStr">
        <is>
          <t>松本 二郎</t>
        </is>
      </c>
      <c r="E72" s="3" t="inlineStr">
        <is>
          <t>松本企画 二郎</t>
        </is>
      </c>
      <c r="F72" s="3" t="inlineStr">
        <is>
          <t>customer071@example.jp</t>
        </is>
      </c>
      <c r="G72" s="9" t="n">
        <v>46170</v>
      </c>
      <c r="H72" s="9" t="n">
        <v>46184</v>
      </c>
      <c r="I72" s="10" t="n">
        <v>46169.67847222222</v>
      </c>
    </row>
    <row r="73">
      <c r="A73" s="8" t="n">
        <v>72</v>
      </c>
      <c r="B73" s="3" t="inlineStr">
        <is>
          <t>202605072</t>
        </is>
      </c>
      <c r="C73" s="3" t="inlineStr">
        <is>
          <t>加藤 彩</t>
        </is>
      </c>
      <c r="D73" s="3" t="inlineStr">
        <is>
          <t>田中 二郎</t>
        </is>
      </c>
      <c r="E73" s="3" t="inlineStr">
        <is>
          <t>田中企画 二郎</t>
        </is>
      </c>
      <c r="F73" s="3" t="inlineStr">
        <is>
          <t>customer072@example.jp</t>
        </is>
      </c>
      <c r="G73" s="9" t="n">
        <v>46172</v>
      </c>
      <c r="H73" s="9" t="n">
        <v>46179</v>
      </c>
      <c r="I73" s="10" t="n">
        <v>46171.39166666667</v>
      </c>
    </row>
    <row r="74">
      <c r="A74" s="8" t="n">
        <v>73</v>
      </c>
      <c r="B74" s="3" t="inlineStr">
        <is>
          <t>202606073</t>
        </is>
      </c>
      <c r="C74" s="3" t="inlineStr">
        <is>
          <t>木村 太郎</t>
        </is>
      </c>
      <c r="D74" s="3" t="inlineStr">
        <is>
          <t>渡辺 和也</t>
        </is>
      </c>
      <c r="E74" s="3" t="inlineStr">
        <is>
          <t>渡辺企画 和也</t>
        </is>
      </c>
      <c r="F74" s="3" t="inlineStr">
        <is>
          <t>customer073@example.jp</t>
        </is>
      </c>
      <c r="G74" s="9" t="n">
        <v>46174</v>
      </c>
      <c r="H74" s="9" t="n">
        <v>46182</v>
      </c>
      <c r="I74" s="10" t="n">
        <v>46173.43819444445</v>
      </c>
    </row>
    <row r="75">
      <c r="A75" s="8" t="n">
        <v>74</v>
      </c>
      <c r="B75" s="3" t="inlineStr">
        <is>
          <t>202606074</t>
        </is>
      </c>
      <c r="C75" s="3" t="inlineStr">
        <is>
          <t>佐藤 花子</t>
        </is>
      </c>
      <c r="D75" s="3" t="inlineStr">
        <is>
          <t>渡辺 和也</t>
        </is>
      </c>
      <c r="E75" s="3" t="inlineStr">
        <is>
          <t>渡辺企画 和也</t>
        </is>
      </c>
      <c r="F75" s="3" t="inlineStr">
        <is>
          <t>customer074@example.jp</t>
        </is>
      </c>
      <c r="G75" s="9" t="n">
        <v>46176</v>
      </c>
      <c r="H75" s="9" t="n">
        <v>46185</v>
      </c>
      <c r="I75" s="10" t="n">
        <v>46175.48472222222</v>
      </c>
    </row>
    <row r="76">
      <c r="A76" s="8" t="n">
        <v>75</v>
      </c>
      <c r="B76" s="3" t="inlineStr">
        <is>
          <t>202601075</t>
        </is>
      </c>
      <c r="C76" s="3" t="inlineStr">
        <is>
          <t>高橋 健</t>
        </is>
      </c>
      <c r="D76" s="3" t="inlineStr">
        <is>
          <t>佐々木 真由</t>
        </is>
      </c>
      <c r="E76" s="3" t="inlineStr">
        <is>
          <t>佐々木企画 真由</t>
        </is>
      </c>
      <c r="F76" s="3" t="inlineStr">
        <is>
          <t>customer075@example.jp</t>
        </is>
      </c>
      <c r="G76" s="9" t="n">
        <v>46028</v>
      </c>
      <c r="H76" s="9" t="n">
        <v>46038</v>
      </c>
      <c r="I76" s="10" t="n">
        <v>46027.53125</v>
      </c>
    </row>
    <row r="77">
      <c r="A77" s="8" t="n">
        <v>76</v>
      </c>
      <c r="B77" s="3" t="inlineStr">
        <is>
          <t>202601076</t>
        </is>
      </c>
      <c r="C77" s="3" t="inlineStr">
        <is>
          <t>鈴木 美咲</t>
        </is>
      </c>
      <c r="D77" s="3" t="inlineStr">
        <is>
          <t>山本 遥</t>
        </is>
      </c>
      <c r="E77" s="3" t="inlineStr">
        <is>
          <t>山本企画 遥</t>
        </is>
      </c>
      <c r="F77" s="3" t="inlineStr">
        <is>
          <t>customer076@example.jp</t>
        </is>
      </c>
      <c r="G77" s="9" t="n">
        <v>46030</v>
      </c>
      <c r="H77" s="9" t="n">
        <v>46041</v>
      </c>
      <c r="I77" s="10" t="n">
        <v>46029.57777777778</v>
      </c>
    </row>
    <row r="78">
      <c r="A78" s="8" t="n">
        <v>77</v>
      </c>
      <c r="B78" s="3" t="inlineStr">
        <is>
          <t>202601077</t>
        </is>
      </c>
      <c r="C78" s="3" t="inlineStr">
        <is>
          <t>伊藤 翔</t>
        </is>
      </c>
      <c r="D78" s="3" t="inlineStr">
        <is>
          <t>佐々木 真由</t>
        </is>
      </c>
      <c r="E78" s="3" t="inlineStr">
        <is>
          <t>佐々木企画 真由</t>
        </is>
      </c>
      <c r="F78" s="3" t="inlineStr">
        <is>
          <t>customer077@example.jp</t>
        </is>
      </c>
      <c r="G78" s="9" t="n">
        <v>46032</v>
      </c>
      <c r="H78" s="9" t="n">
        <v>46044</v>
      </c>
      <c r="I78" s="10" t="n">
        <v>46031.62430555555</v>
      </c>
    </row>
    <row r="79">
      <c r="A79" s="8" t="n">
        <v>78</v>
      </c>
      <c r="B79" s="3" t="inlineStr">
        <is>
          <t>202601078</t>
        </is>
      </c>
      <c r="C79" s="3" t="inlineStr">
        <is>
          <t>中村 優奈</t>
        </is>
      </c>
      <c r="D79" s="3" t="inlineStr">
        <is>
          <t>松本 大輔</t>
        </is>
      </c>
      <c r="E79" s="3" t="inlineStr">
        <is>
          <t>松本企画 大輔</t>
        </is>
      </c>
      <c r="F79" s="3" t="inlineStr">
        <is>
          <t>customer078@example.jp</t>
        </is>
      </c>
      <c r="G79" s="9" t="n">
        <v>46034</v>
      </c>
      <c r="H79" s="9" t="n">
        <v>46047</v>
      </c>
      <c r="I79" s="10" t="n">
        <v>46033.62916666667</v>
      </c>
    </row>
    <row r="80">
      <c r="A80" s="8" t="n">
        <v>79</v>
      </c>
      <c r="B80" s="3" t="inlineStr">
        <is>
          <t>202601079</t>
        </is>
      </c>
      <c r="C80" s="3" t="inlineStr">
        <is>
          <t>小林 陽介</t>
        </is>
      </c>
      <c r="D80" s="3" t="inlineStr">
        <is>
          <t>吉田 大輔</t>
        </is>
      </c>
      <c r="E80" s="3" t="inlineStr">
        <is>
          <t>吉田企画 大輔</t>
        </is>
      </c>
      <c r="F80" s="3" t="inlineStr">
        <is>
          <t>customer079@example.jp</t>
        </is>
      </c>
      <c r="G80" s="9" t="n">
        <v>46036</v>
      </c>
      <c r="H80" s="9" t="n">
        <v>46050</v>
      </c>
      <c r="I80" s="10" t="n">
        <v>46035.67569444444</v>
      </c>
    </row>
    <row r="81">
      <c r="A81" s="8" t="n">
        <v>80</v>
      </c>
      <c r="B81" s="3" t="inlineStr">
        <is>
          <t>202601080</t>
        </is>
      </c>
      <c r="C81" s="3" t="inlineStr">
        <is>
          <t>加藤 彩</t>
        </is>
      </c>
      <c r="D81" s="3" t="inlineStr">
        <is>
          <t>田中 和也</t>
        </is>
      </c>
      <c r="E81" s="3" t="inlineStr">
        <is>
          <t>田中企画 和也</t>
        </is>
      </c>
      <c r="F81" s="3" t="inlineStr">
        <is>
          <t>customer080@example.jp</t>
        </is>
      </c>
      <c r="G81" s="9" t="n">
        <v>46038</v>
      </c>
      <c r="H81" s="9" t="n">
        <v>46045</v>
      </c>
      <c r="I81" s="10" t="n">
        <v>46037.38888888889</v>
      </c>
    </row>
    <row r="82">
      <c r="A82" s="8" t="n">
        <v>81</v>
      </c>
      <c r="B82" s="3" t="inlineStr">
        <is>
          <t>202601081</t>
        </is>
      </c>
      <c r="C82" s="3" t="inlineStr">
        <is>
          <t>木村 太郎</t>
        </is>
      </c>
      <c r="D82" s="3" t="inlineStr">
        <is>
          <t>池田 二郎</t>
        </is>
      </c>
      <c r="E82" s="3" t="inlineStr">
        <is>
          <t>池田企画 二郎</t>
        </is>
      </c>
      <c r="F82" s="3" t="inlineStr">
        <is>
          <t>customer081@example.jp</t>
        </is>
      </c>
      <c r="G82" s="9" t="n">
        <v>46040</v>
      </c>
      <c r="H82" s="9" t="n">
        <v>46048</v>
      </c>
      <c r="I82" s="10" t="n">
        <v>46039.43541666667</v>
      </c>
    </row>
    <row r="83">
      <c r="A83" s="8" t="n">
        <v>82</v>
      </c>
      <c r="B83" s="3" t="inlineStr">
        <is>
          <t>202601082</t>
        </is>
      </c>
      <c r="C83" s="3" t="inlineStr">
        <is>
          <t>佐藤 花子</t>
        </is>
      </c>
      <c r="D83" s="3" t="inlineStr">
        <is>
          <t>林 大輔</t>
        </is>
      </c>
      <c r="E83" s="3" t="inlineStr">
        <is>
          <t>林企画 大輔</t>
        </is>
      </c>
      <c r="F83" s="3" t="inlineStr">
        <is>
          <t>customer082@example.jp</t>
        </is>
      </c>
      <c r="G83" s="9" t="n">
        <v>46042</v>
      </c>
      <c r="H83" s="9" t="n">
        <v>46051</v>
      </c>
      <c r="I83" s="10" t="n">
        <v>46041.48194444444</v>
      </c>
    </row>
    <row r="84">
      <c r="A84" s="8" t="n">
        <v>83</v>
      </c>
      <c r="B84" s="3" t="inlineStr">
        <is>
          <t>202601083</t>
        </is>
      </c>
      <c r="C84" s="3" t="inlineStr">
        <is>
          <t>高橋 健</t>
        </is>
      </c>
      <c r="D84" s="3" t="inlineStr">
        <is>
          <t>吉田 和也</t>
        </is>
      </c>
      <c r="E84" s="3" t="inlineStr">
        <is>
          <t>吉田企画 和也</t>
        </is>
      </c>
      <c r="F84" s="3" t="inlineStr">
        <is>
          <t>customer083@example.jp</t>
        </is>
      </c>
      <c r="G84" s="9" t="n">
        <v>46044</v>
      </c>
      <c r="H84" s="9" t="n">
        <v>46054</v>
      </c>
      <c r="I84" s="10" t="n">
        <v>46043.52847222222</v>
      </c>
    </row>
    <row r="85">
      <c r="A85" s="8" t="n">
        <v>84</v>
      </c>
      <c r="B85" s="3" t="inlineStr">
        <is>
          <t>202601084</t>
        </is>
      </c>
      <c r="C85" s="3" t="inlineStr">
        <is>
          <t>鈴木 美咲</t>
        </is>
      </c>
      <c r="D85" s="3" t="inlineStr">
        <is>
          <t>山田 二郎</t>
        </is>
      </c>
      <c r="E85" s="3" t="inlineStr">
        <is>
          <t>山田企画 二郎</t>
        </is>
      </c>
      <c r="F85" s="3" t="inlineStr">
        <is>
          <t>customer084@example.jp</t>
        </is>
      </c>
      <c r="G85" s="9" t="n">
        <v>46046</v>
      </c>
      <c r="H85" s="9" t="n">
        <v>46057</v>
      </c>
      <c r="I85" s="10" t="n">
        <v>46045.575</v>
      </c>
    </row>
    <row r="86">
      <c r="A86" s="8" t="n">
        <v>85</v>
      </c>
      <c r="B86" s="3" t="inlineStr">
        <is>
          <t>202601085</t>
        </is>
      </c>
      <c r="C86" s="3" t="inlineStr">
        <is>
          <t>伊藤 翔</t>
        </is>
      </c>
      <c r="D86" s="3" t="inlineStr">
        <is>
          <t>吉田 遥</t>
        </is>
      </c>
      <c r="E86" s="3" t="inlineStr">
        <is>
          <t>吉田企画 遥</t>
        </is>
      </c>
      <c r="F86" s="3" t="inlineStr">
        <is>
          <t>customer085@example.jp</t>
        </is>
      </c>
      <c r="G86" s="9" t="n">
        <v>46048</v>
      </c>
      <c r="H86" s="9" t="n">
        <v>46060</v>
      </c>
      <c r="I86" s="10" t="n">
        <v>46047.62152777778</v>
      </c>
    </row>
    <row r="87">
      <c r="A87" s="8" t="n">
        <v>86</v>
      </c>
      <c r="B87" s="3" t="inlineStr">
        <is>
          <t>202601086</t>
        </is>
      </c>
      <c r="C87" s="3" t="inlineStr">
        <is>
          <t>中村 優奈</t>
        </is>
      </c>
      <c r="D87" s="3" t="inlineStr">
        <is>
          <t>渡辺 奏</t>
        </is>
      </c>
      <c r="E87" s="3" t="inlineStr">
        <is>
          <t>渡辺企画 奏</t>
        </is>
      </c>
      <c r="F87" s="3" t="inlineStr">
        <is>
          <t>customer086@example.jp</t>
        </is>
      </c>
      <c r="G87" s="9" t="n">
        <v>46050</v>
      </c>
      <c r="H87" s="9" t="n">
        <v>46063</v>
      </c>
      <c r="I87" s="10" t="n">
        <v>46049.62638888889</v>
      </c>
    </row>
    <row r="88">
      <c r="A88" s="8" t="n">
        <v>87</v>
      </c>
      <c r="B88" s="3" t="inlineStr">
        <is>
          <t>202601087</t>
        </is>
      </c>
      <c r="C88" s="3" t="inlineStr">
        <is>
          <t>小林 陽介</t>
        </is>
      </c>
      <c r="D88" s="3" t="inlineStr">
        <is>
          <t>田中 莉子</t>
        </is>
      </c>
      <c r="E88" s="3" t="inlineStr">
        <is>
          <t>田中企画 莉子</t>
        </is>
      </c>
      <c r="F88" s="3" t="inlineStr">
        <is>
          <t>customer087@example.jp</t>
        </is>
      </c>
      <c r="G88" s="9" t="n">
        <v>46052</v>
      </c>
      <c r="H88" s="9" t="n">
        <v>46066</v>
      </c>
      <c r="I88" s="10" t="n">
        <v>46051.67291666667</v>
      </c>
    </row>
    <row r="89">
      <c r="A89" s="8" t="n">
        <v>88</v>
      </c>
      <c r="B89" s="3" t="inlineStr">
        <is>
          <t>202602088</t>
        </is>
      </c>
      <c r="C89" s="3" t="inlineStr">
        <is>
          <t>加藤 彩</t>
        </is>
      </c>
      <c r="D89" s="3" t="inlineStr">
        <is>
          <t>池田 恵</t>
        </is>
      </c>
      <c r="E89" s="3" t="inlineStr">
        <is>
          <t>池田企画 恵</t>
        </is>
      </c>
      <c r="F89" s="3" t="inlineStr">
        <is>
          <t>customer088@example.jp</t>
        </is>
      </c>
      <c r="G89" s="9" t="n">
        <v>46054</v>
      </c>
      <c r="H89" s="9" t="n">
        <v>46061</v>
      </c>
      <c r="I89" s="10" t="n">
        <v>46053.38611111111</v>
      </c>
    </row>
    <row r="90">
      <c r="A90" s="8" t="n">
        <v>89</v>
      </c>
      <c r="B90" s="3" t="inlineStr">
        <is>
          <t>202602089</t>
        </is>
      </c>
      <c r="C90" s="3" t="inlineStr">
        <is>
          <t>木村 太郎</t>
        </is>
      </c>
      <c r="D90" s="3" t="inlineStr">
        <is>
          <t>井上 美咲</t>
        </is>
      </c>
      <c r="E90" s="3" t="inlineStr">
        <is>
          <t>井上企画 美咲</t>
        </is>
      </c>
      <c r="F90" s="3" t="inlineStr">
        <is>
          <t>customer089@example.jp</t>
        </is>
      </c>
      <c r="G90" s="9" t="n">
        <v>46056</v>
      </c>
      <c r="H90" s="9" t="n">
        <v>46064</v>
      </c>
      <c r="I90" s="10" t="n">
        <v>46055.43263888889</v>
      </c>
    </row>
    <row r="91">
      <c r="A91" s="8" t="n">
        <v>90</v>
      </c>
      <c r="B91" s="3" t="inlineStr">
        <is>
          <t>202602090</t>
        </is>
      </c>
      <c r="C91" s="3" t="inlineStr">
        <is>
          <t>佐藤 花子</t>
        </is>
      </c>
      <c r="D91" s="3" t="inlineStr">
        <is>
          <t>井上 二郎</t>
        </is>
      </c>
      <c r="E91" s="3" t="inlineStr">
        <is>
          <t>井上企画 二郎</t>
        </is>
      </c>
      <c r="F91" s="3" t="inlineStr">
        <is>
          <t>customer090@example.jp</t>
        </is>
      </c>
      <c r="G91" s="9" t="n">
        <v>46058</v>
      </c>
      <c r="H91" s="9" t="n">
        <v>46067</v>
      </c>
      <c r="I91" s="10" t="n">
        <v>46057.47916666666</v>
      </c>
    </row>
    <row r="92">
      <c r="A92" s="8" t="n">
        <v>91</v>
      </c>
      <c r="B92" s="3" t="inlineStr">
        <is>
          <t>202602091</t>
        </is>
      </c>
      <c r="C92" s="3" t="inlineStr">
        <is>
          <t>高橋 健</t>
        </is>
      </c>
      <c r="D92" s="3" t="inlineStr">
        <is>
          <t>林 恵</t>
        </is>
      </c>
      <c r="E92" s="3" t="inlineStr">
        <is>
          <t>林企画 恵</t>
        </is>
      </c>
      <c r="F92" s="3" t="inlineStr">
        <is>
          <t>customer091@example.jp</t>
        </is>
      </c>
      <c r="G92" s="9" t="n">
        <v>46060</v>
      </c>
      <c r="H92" s="9" t="n">
        <v>46070</v>
      </c>
      <c r="I92" s="10" t="n">
        <v>46059.52569444444</v>
      </c>
    </row>
    <row r="93">
      <c r="A93" s="8" t="n">
        <v>92</v>
      </c>
      <c r="B93" s="3" t="inlineStr">
        <is>
          <t>202602092</t>
        </is>
      </c>
      <c r="C93" s="3" t="inlineStr">
        <is>
          <t>鈴木 美咲</t>
        </is>
      </c>
      <c r="D93" s="3" t="inlineStr">
        <is>
          <t>林 大輔</t>
        </is>
      </c>
      <c r="E93" s="3" t="inlineStr">
        <is>
          <t>林企画 大輔</t>
        </is>
      </c>
      <c r="F93" s="3" t="inlineStr">
        <is>
          <t>customer092@example.jp</t>
        </is>
      </c>
      <c r="G93" s="9" t="n">
        <v>46062</v>
      </c>
      <c r="H93" s="9" t="n">
        <v>46073</v>
      </c>
      <c r="I93" s="10" t="n">
        <v>46061.57222222222</v>
      </c>
    </row>
    <row r="94">
      <c r="A94" s="8" t="n">
        <v>93</v>
      </c>
      <c r="B94" s="3" t="inlineStr">
        <is>
          <t>202602093</t>
        </is>
      </c>
      <c r="C94" s="3" t="inlineStr">
        <is>
          <t>伊藤 翔</t>
        </is>
      </c>
      <c r="D94" s="3" t="inlineStr">
        <is>
          <t>清水 愛</t>
        </is>
      </c>
      <c r="E94" s="3" t="inlineStr">
        <is>
          <t>清水企画 愛</t>
        </is>
      </c>
      <c r="F94" s="3" t="inlineStr">
        <is>
          <t>customer093@example.jp</t>
        </is>
      </c>
      <c r="G94" s="9" t="n">
        <v>46064</v>
      </c>
      <c r="H94" s="9" t="n">
        <v>46076</v>
      </c>
      <c r="I94" s="10" t="n">
        <v>46063.61875</v>
      </c>
    </row>
    <row r="95">
      <c r="A95" s="8" t="n">
        <v>94</v>
      </c>
      <c r="B95" s="3" t="inlineStr">
        <is>
          <t>202602094</t>
        </is>
      </c>
      <c r="C95" s="3" t="inlineStr">
        <is>
          <t>中村 優奈</t>
        </is>
      </c>
      <c r="D95" s="3" t="inlineStr">
        <is>
          <t>渡辺 涼</t>
        </is>
      </c>
      <c r="E95" s="3" t="inlineStr">
        <is>
          <t>渡辺企画 涼</t>
        </is>
      </c>
      <c r="F95" s="3" t="inlineStr">
        <is>
          <t>customer094@example.jp</t>
        </is>
      </c>
      <c r="G95" s="9" t="n">
        <v>46066</v>
      </c>
      <c r="H95" s="9" t="n">
        <v>46079</v>
      </c>
      <c r="I95" s="10" t="n">
        <v>46065.66527777778</v>
      </c>
    </row>
    <row r="96">
      <c r="A96" s="8" t="n">
        <v>95</v>
      </c>
      <c r="B96" s="3" t="inlineStr">
        <is>
          <t>202602095</t>
        </is>
      </c>
      <c r="C96" s="3" t="inlineStr">
        <is>
          <t>小林 陽介</t>
        </is>
      </c>
      <c r="D96" s="3" t="inlineStr">
        <is>
          <t>渡辺 大輔</t>
        </is>
      </c>
      <c r="E96" s="3" t="inlineStr">
        <is>
          <t>渡辺企画 大輔</t>
        </is>
      </c>
      <c r="F96" s="3" t="inlineStr">
        <is>
          <t>customer095@example.jp</t>
        </is>
      </c>
      <c r="G96" s="9" t="n">
        <v>46068</v>
      </c>
      <c r="H96" s="9" t="n">
        <v>46082</v>
      </c>
      <c r="I96" s="10" t="n">
        <v>46067.67013888889</v>
      </c>
    </row>
    <row r="97">
      <c r="A97" s="8" t="n">
        <v>96</v>
      </c>
      <c r="B97" s="3" t="inlineStr">
        <is>
          <t>202602096</t>
        </is>
      </c>
      <c r="C97" s="3" t="inlineStr">
        <is>
          <t>加藤 彩</t>
        </is>
      </c>
      <c r="D97" s="3" t="inlineStr">
        <is>
          <t>井上 一郎</t>
        </is>
      </c>
      <c r="E97" s="3" t="inlineStr">
        <is>
          <t>井上企画 一郎</t>
        </is>
      </c>
      <c r="F97" s="3" t="inlineStr">
        <is>
          <t>customer096@example.jp</t>
        </is>
      </c>
      <c r="G97" s="9" t="n">
        <v>46070</v>
      </c>
      <c r="H97" s="9" t="n">
        <v>46077</v>
      </c>
      <c r="I97" s="10" t="n">
        <v>46069.38333333333</v>
      </c>
    </row>
    <row r="98">
      <c r="A98" s="8" t="n">
        <v>97</v>
      </c>
      <c r="B98" s="3" t="inlineStr">
        <is>
          <t>202602097</t>
        </is>
      </c>
      <c r="C98" s="3" t="inlineStr">
        <is>
          <t>木村 太郎</t>
        </is>
      </c>
      <c r="D98" s="3" t="inlineStr">
        <is>
          <t>清水 涼</t>
        </is>
      </c>
      <c r="E98" s="3" t="inlineStr">
        <is>
          <t>清水企画 涼</t>
        </is>
      </c>
      <c r="F98" s="3" t="inlineStr">
        <is>
          <t>customer097@example.jp</t>
        </is>
      </c>
      <c r="G98" s="9" t="n">
        <v>46072</v>
      </c>
      <c r="H98" s="9" t="n">
        <v>46080</v>
      </c>
      <c r="I98" s="10" t="n">
        <v>46071.42986111111</v>
      </c>
    </row>
    <row r="99">
      <c r="A99" s="8" t="n">
        <v>98</v>
      </c>
      <c r="B99" s="3" t="inlineStr">
        <is>
          <t>202602098</t>
        </is>
      </c>
      <c r="C99" s="3" t="inlineStr">
        <is>
          <t>佐藤 花子</t>
        </is>
      </c>
      <c r="D99" s="3" t="inlineStr">
        <is>
          <t>松本 一郎</t>
        </is>
      </c>
      <c r="E99" s="3" t="inlineStr">
        <is>
          <t>松本企画 一郎</t>
        </is>
      </c>
      <c r="F99" s="3" t="inlineStr">
        <is>
          <t>customer098@example.jp</t>
        </is>
      </c>
      <c r="G99" s="9" t="n">
        <v>46074</v>
      </c>
      <c r="H99" s="9" t="n">
        <v>46083</v>
      </c>
      <c r="I99" s="10" t="n">
        <v>46073.47638888889</v>
      </c>
    </row>
    <row r="100">
      <c r="A100" s="8" t="n">
        <v>99</v>
      </c>
      <c r="B100" s="3" t="inlineStr">
        <is>
          <t>202602099</t>
        </is>
      </c>
      <c r="C100" s="3" t="inlineStr">
        <is>
          <t>高橋 健</t>
        </is>
      </c>
      <c r="D100" s="3" t="inlineStr">
        <is>
          <t>山本 涼</t>
        </is>
      </c>
      <c r="E100" s="3" t="inlineStr">
        <is>
          <t>山本企画 涼</t>
        </is>
      </c>
      <c r="F100" s="3" t="inlineStr">
        <is>
          <t>customer099@example.jp</t>
        </is>
      </c>
      <c r="G100" s="9" t="n">
        <v>46076</v>
      </c>
      <c r="H100" s="9" t="n">
        <v>46086</v>
      </c>
      <c r="I100" s="10" t="n">
        <v>46075.52291666667</v>
      </c>
    </row>
    <row r="101">
      <c r="A101" s="8" t="n">
        <v>100</v>
      </c>
      <c r="B101" s="3" t="inlineStr">
        <is>
          <t>202602100</t>
        </is>
      </c>
      <c r="C101" s="3" t="inlineStr">
        <is>
          <t>鈴木 美咲</t>
        </is>
      </c>
      <c r="D101" s="3" t="inlineStr">
        <is>
          <t>吉田 愛</t>
        </is>
      </c>
      <c r="E101" s="3" t="inlineStr">
        <is>
          <t>吉田企画 愛</t>
        </is>
      </c>
      <c r="F101" s="3" t="inlineStr">
        <is>
          <t>customer100@example.jp</t>
        </is>
      </c>
      <c r="G101" s="9" t="n">
        <v>46078</v>
      </c>
      <c r="H101" s="9" t="n">
        <v>46089</v>
      </c>
      <c r="I101" s="10" t="n">
        <v>46077.56944444445</v>
      </c>
    </row>
    <row r="102">
      <c r="A102" s="8" t="n">
        <v>101</v>
      </c>
      <c r="B102" s="3" t="inlineStr">
        <is>
          <t>202602101</t>
        </is>
      </c>
      <c r="C102" s="3" t="inlineStr">
        <is>
          <t>伊藤 翔</t>
        </is>
      </c>
      <c r="D102" s="3" t="inlineStr">
        <is>
          <t>田中 愛</t>
        </is>
      </c>
      <c r="E102" s="3" t="inlineStr">
        <is>
          <t>田中企画 愛</t>
        </is>
      </c>
      <c r="F102" s="3" t="inlineStr">
        <is>
          <t>customer101@example.jp</t>
        </is>
      </c>
      <c r="G102" s="9" t="n">
        <v>46080</v>
      </c>
      <c r="H102" s="9" t="n">
        <v>46092</v>
      </c>
      <c r="I102" s="10" t="n">
        <v>46079.61597222222</v>
      </c>
    </row>
    <row r="103">
      <c r="A103" s="8" t="n">
        <v>102</v>
      </c>
      <c r="B103" s="3" t="inlineStr">
        <is>
          <t>202603102</t>
        </is>
      </c>
      <c r="C103" s="3" t="inlineStr">
        <is>
          <t>中村 優奈</t>
        </is>
      </c>
      <c r="D103" s="3" t="inlineStr">
        <is>
          <t>清水 二郎</t>
        </is>
      </c>
      <c r="E103" s="3" t="inlineStr">
        <is>
          <t>清水企画 二郎</t>
        </is>
      </c>
      <c r="F103" s="3" t="inlineStr">
        <is>
          <t>customer102@example.jp</t>
        </is>
      </c>
      <c r="G103" s="9" t="n">
        <v>46082</v>
      </c>
      <c r="H103" s="9" t="n">
        <v>46095</v>
      </c>
      <c r="I103" s="10" t="n">
        <v>46081.6625</v>
      </c>
    </row>
    <row r="104">
      <c r="A104" s="8" t="n">
        <v>103</v>
      </c>
      <c r="B104" s="3" t="inlineStr">
        <is>
          <t>202603103</t>
        </is>
      </c>
      <c r="C104" s="3" t="inlineStr">
        <is>
          <t>小林 陽介</t>
        </is>
      </c>
      <c r="D104" s="3" t="inlineStr">
        <is>
          <t>山本 莉子</t>
        </is>
      </c>
      <c r="E104" s="3" t="inlineStr">
        <is>
          <t>山本企画 莉子</t>
        </is>
      </c>
      <c r="F104" s="3" t="inlineStr">
        <is>
          <t>customer103@example.jp</t>
        </is>
      </c>
      <c r="G104" s="9" t="n">
        <v>46084</v>
      </c>
      <c r="H104" s="9" t="n">
        <v>46098</v>
      </c>
      <c r="I104" s="10" t="n">
        <v>46083.66736111111</v>
      </c>
    </row>
    <row r="105">
      <c r="A105" s="8" t="n">
        <v>104</v>
      </c>
      <c r="B105" s="3" t="inlineStr">
        <is>
          <t>202603104</t>
        </is>
      </c>
      <c r="C105" s="3" t="inlineStr">
        <is>
          <t>加藤 彩</t>
        </is>
      </c>
      <c r="D105" s="3" t="inlineStr">
        <is>
          <t>松本 二郎</t>
        </is>
      </c>
      <c r="E105" s="3" t="inlineStr">
        <is>
          <t>松本企画 二郎</t>
        </is>
      </c>
      <c r="F105" s="3" t="inlineStr">
        <is>
          <t>customer104@example.jp</t>
        </is>
      </c>
      <c r="G105" s="9" t="n">
        <v>46086</v>
      </c>
      <c r="H105" s="9" t="n">
        <v>46093</v>
      </c>
      <c r="I105" s="10" t="n">
        <v>46085.38055555556</v>
      </c>
    </row>
    <row r="106">
      <c r="A106" s="8" t="n">
        <v>105</v>
      </c>
      <c r="B106" s="3" t="inlineStr">
        <is>
          <t>202603105</t>
        </is>
      </c>
      <c r="C106" s="3" t="inlineStr">
        <is>
          <t>木村 太郎</t>
        </is>
      </c>
      <c r="D106" s="3" t="inlineStr">
        <is>
          <t>井上 美咲</t>
        </is>
      </c>
      <c r="E106" s="3" t="inlineStr">
        <is>
          <t>井上企画 美咲</t>
        </is>
      </c>
      <c r="F106" s="3" t="inlineStr">
        <is>
          <t>customer105@example.jp</t>
        </is>
      </c>
      <c r="G106" s="9" t="n">
        <v>46088</v>
      </c>
      <c r="H106" s="9" t="n">
        <v>46096</v>
      </c>
      <c r="I106" s="10" t="n">
        <v>46087.42708333334</v>
      </c>
    </row>
    <row r="107">
      <c r="A107" s="8" t="n">
        <v>106</v>
      </c>
      <c r="B107" s="3" t="inlineStr">
        <is>
          <t>202603106</t>
        </is>
      </c>
      <c r="C107" s="3" t="inlineStr">
        <is>
          <t>佐藤 花子</t>
        </is>
      </c>
      <c r="D107" s="3" t="inlineStr">
        <is>
          <t>渡辺 和也</t>
        </is>
      </c>
      <c r="E107" s="3" t="inlineStr">
        <is>
          <t>渡辺企画 和也</t>
        </is>
      </c>
      <c r="F107" s="3" t="inlineStr">
        <is>
          <t>customer106@example.jp</t>
        </is>
      </c>
      <c r="G107" s="9" t="n">
        <v>46090</v>
      </c>
      <c r="H107" s="9" t="n">
        <v>46099</v>
      </c>
      <c r="I107" s="10" t="n">
        <v>46089.47361111111</v>
      </c>
    </row>
    <row r="108">
      <c r="A108" s="8" t="n">
        <v>107</v>
      </c>
      <c r="B108" s="3" t="inlineStr">
        <is>
          <t>202603107</t>
        </is>
      </c>
      <c r="C108" s="3" t="inlineStr">
        <is>
          <t>高橋 健</t>
        </is>
      </c>
      <c r="D108" s="3" t="inlineStr">
        <is>
          <t>松本 大輔</t>
        </is>
      </c>
      <c r="E108" s="3" t="inlineStr">
        <is>
          <t>松本企画 大輔</t>
        </is>
      </c>
      <c r="F108" s="3" t="inlineStr">
        <is>
          <t>customer107@example.jp</t>
        </is>
      </c>
      <c r="G108" s="9" t="n">
        <v>46092</v>
      </c>
      <c r="H108" s="9" t="n">
        <v>46102</v>
      </c>
      <c r="I108" s="10" t="n">
        <v>46091.52013888889</v>
      </c>
    </row>
    <row r="109">
      <c r="A109" s="8" t="n">
        <v>108</v>
      </c>
      <c r="B109" s="3" t="inlineStr">
        <is>
          <t>202603108</t>
        </is>
      </c>
      <c r="C109" s="3" t="inlineStr">
        <is>
          <t>鈴木 美咲</t>
        </is>
      </c>
      <c r="D109" s="3" t="inlineStr">
        <is>
          <t>渡辺 恵</t>
        </is>
      </c>
      <c r="E109" s="3" t="inlineStr">
        <is>
          <t>渡辺企画 恵</t>
        </is>
      </c>
      <c r="F109" s="3" t="inlineStr">
        <is>
          <t>customer108@example.jp</t>
        </is>
      </c>
      <c r="G109" s="9" t="n">
        <v>46094</v>
      </c>
      <c r="H109" s="9" t="n">
        <v>46105</v>
      </c>
      <c r="I109" s="10" t="n">
        <v>46093.56666666667</v>
      </c>
    </row>
    <row r="110">
      <c r="A110" s="8" t="n">
        <v>109</v>
      </c>
      <c r="B110" s="3" t="inlineStr">
        <is>
          <t>202603109</t>
        </is>
      </c>
      <c r="C110" s="3" t="inlineStr">
        <is>
          <t>伊藤 翔</t>
        </is>
      </c>
      <c r="D110" s="3" t="inlineStr">
        <is>
          <t>井上 真由</t>
        </is>
      </c>
      <c r="E110" s="3" t="inlineStr">
        <is>
          <t>井上企画 真由</t>
        </is>
      </c>
      <c r="F110" s="3" t="inlineStr">
        <is>
          <t>customer109@example.jp</t>
        </is>
      </c>
      <c r="G110" s="9" t="n">
        <v>46096</v>
      </c>
      <c r="H110" s="9" t="n">
        <v>46108</v>
      </c>
      <c r="I110" s="10" t="n">
        <v>46095.61319444444</v>
      </c>
    </row>
    <row r="111">
      <c r="A111" s="8" t="n">
        <v>110</v>
      </c>
      <c r="B111" s="3" t="inlineStr">
        <is>
          <t>202603110</t>
        </is>
      </c>
      <c r="C111" s="3" t="inlineStr">
        <is>
          <t>中村 優奈</t>
        </is>
      </c>
      <c r="D111" s="3" t="inlineStr">
        <is>
          <t>佐々木 愛</t>
        </is>
      </c>
      <c r="E111" s="3" t="inlineStr">
        <is>
          <t>佐々木企画 愛</t>
        </is>
      </c>
      <c r="F111" s="3" t="inlineStr">
        <is>
          <t>customer110@example.jp</t>
        </is>
      </c>
      <c r="G111" s="9" t="n">
        <v>46098</v>
      </c>
      <c r="H111" s="9" t="n">
        <v>46111</v>
      </c>
      <c r="I111" s="10" t="n">
        <v>46097.65972222222</v>
      </c>
    </row>
    <row r="112">
      <c r="A112" s="8" t="n">
        <v>111</v>
      </c>
      <c r="B112" s="3" t="inlineStr">
        <is>
          <t>202603111</t>
        </is>
      </c>
      <c r="C112" s="3" t="inlineStr">
        <is>
          <t>小林 陽介</t>
        </is>
      </c>
      <c r="D112" s="3" t="inlineStr">
        <is>
          <t>井上 莉子</t>
        </is>
      </c>
      <c r="E112" s="3" t="inlineStr">
        <is>
          <t>井上企画 莉子</t>
        </is>
      </c>
      <c r="F112" s="3" t="inlineStr">
        <is>
          <t>customer111@example.jp</t>
        </is>
      </c>
      <c r="G112" s="9" t="n">
        <v>46100</v>
      </c>
      <c r="H112" s="9" t="n">
        <v>46114</v>
      </c>
      <c r="I112" s="10" t="n">
        <v>46099.70625</v>
      </c>
    </row>
    <row r="113">
      <c r="A113" s="8" t="n">
        <v>112</v>
      </c>
      <c r="B113" s="3" t="inlineStr">
        <is>
          <t>202603112</t>
        </is>
      </c>
      <c r="C113" s="3" t="inlineStr">
        <is>
          <t>加藤 彩</t>
        </is>
      </c>
      <c r="D113" s="3" t="inlineStr">
        <is>
          <t>池田 愛</t>
        </is>
      </c>
      <c r="E113" s="3" t="inlineStr">
        <is>
          <t>池田企画 愛</t>
        </is>
      </c>
      <c r="F113" s="3" t="inlineStr">
        <is>
          <t>customer112@example.jp</t>
        </is>
      </c>
      <c r="G113" s="9" t="n">
        <v>46102</v>
      </c>
      <c r="H113" s="9" t="n">
        <v>46109</v>
      </c>
      <c r="I113" s="10" t="n">
        <v>46101.37777777778</v>
      </c>
    </row>
    <row r="114">
      <c r="A114" s="8" t="n">
        <v>113</v>
      </c>
      <c r="B114" s="3" t="inlineStr">
        <is>
          <t>202603113</t>
        </is>
      </c>
      <c r="C114" s="3" t="inlineStr">
        <is>
          <t>木村 太郎</t>
        </is>
      </c>
      <c r="D114" s="3" t="inlineStr">
        <is>
          <t>池田 恵</t>
        </is>
      </c>
      <c r="E114" s="3" t="inlineStr">
        <is>
          <t>池田企画 恵</t>
        </is>
      </c>
      <c r="F114" s="3" t="inlineStr">
        <is>
          <t>customer113@example.jp</t>
        </is>
      </c>
      <c r="G114" s="9" t="n">
        <v>46104</v>
      </c>
      <c r="H114" s="9" t="n">
        <v>46112</v>
      </c>
      <c r="I114" s="10" t="n">
        <v>46103.42430555556</v>
      </c>
    </row>
    <row r="115">
      <c r="A115" s="8" t="n">
        <v>114</v>
      </c>
      <c r="B115" s="3" t="inlineStr">
        <is>
          <t>202603114</t>
        </is>
      </c>
      <c r="C115" s="3" t="inlineStr">
        <is>
          <t>佐藤 花子</t>
        </is>
      </c>
      <c r="D115" s="3" t="inlineStr">
        <is>
          <t>佐々木 和也</t>
        </is>
      </c>
      <c r="E115" s="3" t="inlineStr">
        <is>
          <t>佐々木企画 和也</t>
        </is>
      </c>
      <c r="F115" s="3" t="inlineStr">
        <is>
          <t>customer114@example.jp</t>
        </is>
      </c>
      <c r="G115" s="9" t="n">
        <v>46106</v>
      </c>
      <c r="H115" s="9" t="n">
        <v>46115</v>
      </c>
      <c r="I115" s="10" t="n">
        <v>46105.47083333333</v>
      </c>
    </row>
    <row r="116">
      <c r="A116" s="8" t="n">
        <v>115</v>
      </c>
      <c r="B116" s="3" t="inlineStr">
        <is>
          <t>202603115</t>
        </is>
      </c>
      <c r="C116" s="3" t="inlineStr">
        <is>
          <t>高橋 健</t>
        </is>
      </c>
      <c r="D116" s="3" t="inlineStr">
        <is>
          <t>林 涼</t>
        </is>
      </c>
      <c r="E116" s="3" t="inlineStr">
        <is>
          <t>林企画 涼</t>
        </is>
      </c>
      <c r="F116" s="3" t="inlineStr">
        <is>
          <t>customer115@example.jp</t>
        </is>
      </c>
      <c r="G116" s="9" t="n">
        <v>46108</v>
      </c>
      <c r="H116" s="9" t="n">
        <v>46118</v>
      </c>
      <c r="I116" s="10" t="n">
        <v>46107.51736111111</v>
      </c>
    </row>
    <row r="117">
      <c r="A117" s="8" t="n">
        <v>116</v>
      </c>
      <c r="B117" s="3" t="inlineStr">
        <is>
          <t>202603116</t>
        </is>
      </c>
      <c r="C117" s="3" t="inlineStr">
        <is>
          <t>鈴木 美咲</t>
        </is>
      </c>
      <c r="D117" s="3" t="inlineStr">
        <is>
          <t>松本 大輔</t>
        </is>
      </c>
      <c r="E117" s="3" t="inlineStr">
        <is>
          <t>松本企画 大輔</t>
        </is>
      </c>
      <c r="F117" s="3" t="inlineStr">
        <is>
          <t>customer116@example.jp</t>
        </is>
      </c>
      <c r="G117" s="9" t="n">
        <v>46110</v>
      </c>
      <c r="H117" s="9" t="n">
        <v>46121</v>
      </c>
      <c r="I117" s="10" t="n">
        <v>46109.56388888889</v>
      </c>
    </row>
    <row r="118">
      <c r="A118" s="8" t="n">
        <v>117</v>
      </c>
      <c r="B118" s="3" t="inlineStr">
        <is>
          <t>202603117</t>
        </is>
      </c>
      <c r="C118" s="3" t="inlineStr">
        <is>
          <t>伊藤 翔</t>
        </is>
      </c>
      <c r="D118" s="3" t="inlineStr">
        <is>
          <t>松本 二郎</t>
        </is>
      </c>
      <c r="E118" s="3" t="inlineStr">
        <is>
          <t>松本企画 二郎</t>
        </is>
      </c>
      <c r="F118" s="3" t="inlineStr">
        <is>
          <t>customer117@example.jp</t>
        </is>
      </c>
      <c r="G118" s="9" t="n">
        <v>46112</v>
      </c>
      <c r="H118" s="9" t="n">
        <v>46124</v>
      </c>
      <c r="I118" s="10" t="n">
        <v>46111.61041666667</v>
      </c>
    </row>
    <row r="119">
      <c r="A119" s="8" t="n">
        <v>118</v>
      </c>
      <c r="B119" s="3" t="inlineStr">
        <is>
          <t>202604118</t>
        </is>
      </c>
      <c r="C119" s="3" t="inlineStr">
        <is>
          <t>中村 優奈</t>
        </is>
      </c>
      <c r="D119" s="3" t="inlineStr">
        <is>
          <t>伊藤 愛</t>
        </is>
      </c>
      <c r="E119" s="3" t="inlineStr">
        <is>
          <t>伊藤企画 愛</t>
        </is>
      </c>
      <c r="F119" s="3" t="inlineStr">
        <is>
          <t>customer118@example.jp</t>
        </is>
      </c>
      <c r="G119" s="9" t="n">
        <v>46114</v>
      </c>
      <c r="H119" s="9" t="n">
        <v>46127</v>
      </c>
      <c r="I119" s="10" t="n">
        <v>46113.65694444445</v>
      </c>
    </row>
    <row r="120">
      <c r="A120" s="8" t="n">
        <v>119</v>
      </c>
      <c r="B120" s="3" t="inlineStr">
        <is>
          <t>202604119</t>
        </is>
      </c>
      <c r="C120" s="3" t="inlineStr">
        <is>
          <t>小林 陽介</t>
        </is>
      </c>
      <c r="D120" s="3" t="inlineStr">
        <is>
          <t>山本 涼</t>
        </is>
      </c>
      <c r="E120" s="3" t="inlineStr">
        <is>
          <t>山本企画 涼</t>
        </is>
      </c>
      <c r="F120" s="3" t="inlineStr">
        <is>
          <t>customer119@example.jp</t>
        </is>
      </c>
      <c r="G120" s="9" t="n">
        <v>46116</v>
      </c>
      <c r="H120" s="9" t="n">
        <v>46130</v>
      </c>
      <c r="I120" s="10" t="n">
        <v>46115.70347222222</v>
      </c>
    </row>
    <row r="121">
      <c r="A121" s="8" t="n">
        <v>120</v>
      </c>
      <c r="B121" s="3" t="inlineStr">
        <is>
          <t>202604120</t>
        </is>
      </c>
      <c r="C121" s="3" t="inlineStr">
        <is>
          <t>加藤 彩</t>
        </is>
      </c>
      <c r="D121" s="3" t="inlineStr">
        <is>
          <t>田中 真由</t>
        </is>
      </c>
      <c r="E121" s="3" t="inlineStr">
        <is>
          <t>田中企画 真由</t>
        </is>
      </c>
      <c r="F121" s="3" t="inlineStr">
        <is>
          <t>customer120@example.jp</t>
        </is>
      </c>
      <c r="G121" s="9" t="n">
        <v>46118</v>
      </c>
      <c r="H121" s="9" t="n">
        <v>46125</v>
      </c>
      <c r="I121" s="10" t="n">
        <v>46117.375</v>
      </c>
    </row>
    <row r="122">
      <c r="A122" s="8" t="n">
        <v>121</v>
      </c>
      <c r="B122" s="3" t="inlineStr">
        <is>
          <t>202604121</t>
        </is>
      </c>
      <c r="C122" s="3" t="inlineStr">
        <is>
          <t>木村 太郎</t>
        </is>
      </c>
      <c r="D122" s="3" t="inlineStr">
        <is>
          <t>井上 愛</t>
        </is>
      </c>
      <c r="E122" s="3" t="inlineStr">
        <is>
          <t>井上企画 愛</t>
        </is>
      </c>
      <c r="F122" s="3" t="inlineStr">
        <is>
          <t>customer121@example.jp</t>
        </is>
      </c>
      <c r="G122" s="9" t="n">
        <v>46120</v>
      </c>
      <c r="H122" s="9" t="n">
        <v>46128</v>
      </c>
      <c r="I122" s="10" t="n">
        <v>46119.42152777778</v>
      </c>
    </row>
    <row r="123">
      <c r="A123" s="8" t="n">
        <v>122</v>
      </c>
      <c r="B123" s="3" t="inlineStr">
        <is>
          <t>202604122</t>
        </is>
      </c>
      <c r="C123" s="3" t="inlineStr">
        <is>
          <t>佐藤 花子</t>
        </is>
      </c>
      <c r="D123" s="3" t="inlineStr">
        <is>
          <t>清水 愛</t>
        </is>
      </c>
      <c r="E123" s="3" t="inlineStr">
        <is>
          <t>清水企画 愛</t>
        </is>
      </c>
      <c r="F123" s="3" t="inlineStr">
        <is>
          <t>customer122@example.jp</t>
        </is>
      </c>
      <c r="G123" s="9" t="n">
        <v>46122</v>
      </c>
      <c r="H123" s="9" t="n">
        <v>46131</v>
      </c>
      <c r="I123" s="10" t="n">
        <v>46121.46805555555</v>
      </c>
    </row>
    <row r="124">
      <c r="A124" s="8" t="n">
        <v>123</v>
      </c>
      <c r="B124" s="3" t="inlineStr">
        <is>
          <t>202604123</t>
        </is>
      </c>
      <c r="C124" s="3" t="inlineStr">
        <is>
          <t>高橋 健</t>
        </is>
      </c>
      <c r="D124" s="3" t="inlineStr">
        <is>
          <t>田中 二郎</t>
        </is>
      </c>
      <c r="E124" s="3" t="inlineStr">
        <is>
          <t>田中企画 二郎</t>
        </is>
      </c>
      <c r="F124" s="3" t="inlineStr">
        <is>
          <t>customer123@example.jp</t>
        </is>
      </c>
      <c r="G124" s="9" t="n">
        <v>46124</v>
      </c>
      <c r="H124" s="9" t="n">
        <v>46134</v>
      </c>
      <c r="I124" s="10" t="n">
        <v>46123.51458333333</v>
      </c>
    </row>
    <row r="125">
      <c r="A125" s="8" t="n">
        <v>124</v>
      </c>
      <c r="B125" s="3" t="inlineStr">
        <is>
          <t>202604124</t>
        </is>
      </c>
      <c r="C125" s="3" t="inlineStr">
        <is>
          <t>鈴木 美咲</t>
        </is>
      </c>
      <c r="D125" s="3" t="inlineStr">
        <is>
          <t>池田 和也</t>
        </is>
      </c>
      <c r="E125" s="3" t="inlineStr">
        <is>
          <t>池田企画 和也</t>
        </is>
      </c>
      <c r="F125" s="3" t="inlineStr">
        <is>
          <t>customer124@example.jp</t>
        </is>
      </c>
      <c r="G125" s="9" t="n">
        <v>46126</v>
      </c>
      <c r="H125" s="9" t="n">
        <v>46137</v>
      </c>
      <c r="I125" s="10" t="n">
        <v>46125.56111111111</v>
      </c>
    </row>
    <row r="126">
      <c r="A126" s="8" t="n">
        <v>125</v>
      </c>
      <c r="B126" s="3" t="inlineStr">
        <is>
          <t>202604125</t>
        </is>
      </c>
      <c r="C126" s="3" t="inlineStr">
        <is>
          <t>伊藤 翔</t>
        </is>
      </c>
      <c r="D126" s="3" t="inlineStr">
        <is>
          <t>田中 愛</t>
        </is>
      </c>
      <c r="E126" s="3" t="inlineStr">
        <is>
          <t>田中企画 愛</t>
        </is>
      </c>
      <c r="F126" s="3" t="inlineStr">
        <is>
          <t>customer125@example.jp</t>
        </is>
      </c>
      <c r="G126" s="9" t="n">
        <v>46128</v>
      </c>
      <c r="H126" s="9" t="n">
        <v>46140</v>
      </c>
      <c r="I126" s="10" t="n">
        <v>46127.60763888889</v>
      </c>
    </row>
    <row r="127">
      <c r="A127" s="8" t="n">
        <v>126</v>
      </c>
      <c r="B127" s="3" t="inlineStr">
        <is>
          <t>202604126</t>
        </is>
      </c>
      <c r="C127" s="3" t="inlineStr">
        <is>
          <t>中村 優奈</t>
        </is>
      </c>
      <c r="D127" s="3" t="inlineStr">
        <is>
          <t>山本 一郎</t>
        </is>
      </c>
      <c r="E127" s="3" t="inlineStr">
        <is>
          <t>山本企画 一郎</t>
        </is>
      </c>
      <c r="F127" s="3" t="inlineStr">
        <is>
          <t>customer126@example.jp</t>
        </is>
      </c>
      <c r="G127" s="9" t="n">
        <v>46130</v>
      </c>
      <c r="H127" s="9" t="n">
        <v>46143</v>
      </c>
      <c r="I127" s="10" t="n">
        <v>46129.65416666667</v>
      </c>
    </row>
    <row r="128">
      <c r="A128" s="8" t="n">
        <v>127</v>
      </c>
      <c r="B128" s="3" t="inlineStr">
        <is>
          <t>202604127</t>
        </is>
      </c>
      <c r="C128" s="3" t="inlineStr">
        <is>
          <t>小林 陽介</t>
        </is>
      </c>
      <c r="D128" s="3" t="inlineStr">
        <is>
          <t>山田 二郎</t>
        </is>
      </c>
      <c r="E128" s="3" t="inlineStr">
        <is>
          <t>山田企画 二郎</t>
        </is>
      </c>
      <c r="F128" s="3" t="inlineStr">
        <is>
          <t>customer127@example.jp</t>
        </is>
      </c>
      <c r="G128" s="9" t="n">
        <v>46132</v>
      </c>
      <c r="H128" s="9" t="n">
        <v>46146</v>
      </c>
      <c r="I128" s="10" t="n">
        <v>46131.70069444444</v>
      </c>
    </row>
    <row r="129">
      <c r="A129" s="8" t="n">
        <v>128</v>
      </c>
      <c r="B129" s="3" t="inlineStr">
        <is>
          <t>202604128</t>
        </is>
      </c>
      <c r="C129" s="3" t="inlineStr">
        <is>
          <t>加藤 彩</t>
        </is>
      </c>
      <c r="D129" s="3" t="inlineStr">
        <is>
          <t>井上 愛</t>
        </is>
      </c>
      <c r="E129" s="3" t="inlineStr">
        <is>
          <t>井上企画 愛</t>
        </is>
      </c>
      <c r="F129" s="3" t="inlineStr">
        <is>
          <t>customer128@example.jp</t>
        </is>
      </c>
      <c r="G129" s="9" t="n">
        <v>46134</v>
      </c>
      <c r="H129" s="9" t="n">
        <v>46141</v>
      </c>
      <c r="I129" s="10" t="n">
        <v>46133.41388888889</v>
      </c>
    </row>
    <row r="130">
      <c r="A130" s="8" t="n">
        <v>129</v>
      </c>
      <c r="B130" s="3" t="inlineStr">
        <is>
          <t>202604129</t>
        </is>
      </c>
      <c r="C130" s="3" t="inlineStr">
        <is>
          <t>木村 太郎</t>
        </is>
      </c>
      <c r="D130" s="3" t="inlineStr">
        <is>
          <t>吉田 和也</t>
        </is>
      </c>
      <c r="E130" s="3" t="inlineStr">
        <is>
          <t>吉田企画 和也</t>
        </is>
      </c>
      <c r="F130" s="3" t="inlineStr">
        <is>
          <t>customer129@example.jp</t>
        </is>
      </c>
      <c r="G130" s="9" t="n">
        <v>46136</v>
      </c>
      <c r="H130" s="9" t="n">
        <v>46144</v>
      </c>
      <c r="I130" s="10" t="n">
        <v>46135.41875</v>
      </c>
    </row>
    <row r="131">
      <c r="A131" s="8" t="n">
        <v>130</v>
      </c>
      <c r="B131" s="3" t="inlineStr">
        <is>
          <t>202604130</t>
        </is>
      </c>
      <c r="C131" s="3" t="inlineStr">
        <is>
          <t>佐藤 花子</t>
        </is>
      </c>
      <c r="D131" s="3" t="inlineStr">
        <is>
          <t>松本 愛</t>
        </is>
      </c>
      <c r="E131" s="3" t="inlineStr">
        <is>
          <t>松本企画 愛</t>
        </is>
      </c>
      <c r="F131" s="3" t="inlineStr">
        <is>
          <t>customer130@example.jp</t>
        </is>
      </c>
      <c r="G131" s="9" t="n">
        <v>46138</v>
      </c>
      <c r="H131" s="9" t="n">
        <v>46147</v>
      </c>
      <c r="I131" s="10" t="n">
        <v>46137.46527777778</v>
      </c>
    </row>
    <row r="132">
      <c r="A132" s="8" t="n">
        <v>131</v>
      </c>
      <c r="B132" s="3" t="inlineStr">
        <is>
          <t>202604131</t>
        </is>
      </c>
      <c r="C132" s="3" t="inlineStr">
        <is>
          <t>高橋 健</t>
        </is>
      </c>
      <c r="D132" s="3" t="inlineStr">
        <is>
          <t>井上 美咲</t>
        </is>
      </c>
      <c r="E132" s="3" t="inlineStr">
        <is>
          <t>井上企画 美咲</t>
        </is>
      </c>
      <c r="F132" s="3" t="inlineStr">
        <is>
          <t>customer131@example.jp</t>
        </is>
      </c>
      <c r="G132" s="9" t="n">
        <v>46140</v>
      </c>
      <c r="H132" s="9" t="n">
        <v>46150</v>
      </c>
      <c r="I132" s="10" t="n">
        <v>46139.51180555556</v>
      </c>
    </row>
    <row r="133">
      <c r="A133" s="8" t="n">
        <v>132</v>
      </c>
      <c r="B133" s="3" t="inlineStr">
        <is>
          <t>202604132</t>
        </is>
      </c>
      <c r="C133" s="3" t="inlineStr">
        <is>
          <t>鈴木 美咲</t>
        </is>
      </c>
      <c r="D133" s="3" t="inlineStr">
        <is>
          <t>池田 真由</t>
        </is>
      </c>
      <c r="E133" s="3" t="inlineStr">
        <is>
          <t>池田企画 真由</t>
        </is>
      </c>
      <c r="F133" s="3" t="inlineStr">
        <is>
          <t>customer132@example.jp</t>
        </is>
      </c>
      <c r="G133" s="9" t="n">
        <v>46142</v>
      </c>
      <c r="H133" s="9" t="n">
        <v>46153</v>
      </c>
      <c r="I133" s="10" t="n">
        <v>46141.55833333333</v>
      </c>
    </row>
    <row r="134">
      <c r="A134" s="8" t="n">
        <v>133</v>
      </c>
      <c r="B134" s="3" t="inlineStr">
        <is>
          <t>202605133</t>
        </is>
      </c>
      <c r="C134" s="3" t="inlineStr">
        <is>
          <t>伊藤 翔</t>
        </is>
      </c>
      <c r="D134" s="3" t="inlineStr">
        <is>
          <t>清水 奏</t>
        </is>
      </c>
      <c r="E134" s="3" t="inlineStr">
        <is>
          <t>清水企画 奏</t>
        </is>
      </c>
      <c r="F134" s="3" t="inlineStr">
        <is>
          <t>customer133@example.jp</t>
        </is>
      </c>
      <c r="G134" s="9" t="n">
        <v>46144</v>
      </c>
      <c r="H134" s="9" t="n">
        <v>46156</v>
      </c>
      <c r="I134" s="10" t="n">
        <v>46143.60486111111</v>
      </c>
    </row>
    <row r="135">
      <c r="A135" s="8" t="n">
        <v>134</v>
      </c>
      <c r="B135" s="3" t="inlineStr">
        <is>
          <t>202605134</t>
        </is>
      </c>
      <c r="C135" s="3" t="inlineStr">
        <is>
          <t>中村 優奈</t>
        </is>
      </c>
      <c r="D135" s="3" t="inlineStr">
        <is>
          <t>伊藤 奏</t>
        </is>
      </c>
      <c r="E135" s="3" t="inlineStr">
        <is>
          <t>伊藤企画 奏</t>
        </is>
      </c>
      <c r="F135" s="3" t="inlineStr">
        <is>
          <t>customer134@example.jp</t>
        </is>
      </c>
      <c r="G135" s="9" t="n">
        <v>46146</v>
      </c>
      <c r="H135" s="9" t="n">
        <v>46159</v>
      </c>
      <c r="I135" s="10" t="n">
        <v>46145.65138888889</v>
      </c>
    </row>
    <row r="136">
      <c r="A136" s="8" t="n">
        <v>135</v>
      </c>
      <c r="B136" s="3" t="inlineStr">
        <is>
          <t>202605135</t>
        </is>
      </c>
      <c r="C136" s="3" t="inlineStr">
        <is>
          <t>小林 陽介</t>
        </is>
      </c>
      <c r="D136" s="3" t="inlineStr">
        <is>
          <t>佐々木 愛</t>
        </is>
      </c>
      <c r="E136" s="3" t="inlineStr">
        <is>
          <t>佐々木企画 愛</t>
        </is>
      </c>
      <c r="F136" s="3" t="inlineStr">
        <is>
          <t>customer135@example.jp</t>
        </is>
      </c>
      <c r="G136" s="9" t="n">
        <v>46148</v>
      </c>
      <c r="H136" s="9" t="n">
        <v>46162</v>
      </c>
      <c r="I136" s="10" t="n">
        <v>46147.69791666666</v>
      </c>
    </row>
    <row r="137">
      <c r="A137" s="8" t="n">
        <v>136</v>
      </c>
      <c r="B137" s="3" t="inlineStr">
        <is>
          <t>202605136</t>
        </is>
      </c>
      <c r="C137" s="3" t="inlineStr">
        <is>
          <t>加藤 彩</t>
        </is>
      </c>
      <c r="D137" s="3" t="inlineStr">
        <is>
          <t>山本 二郎</t>
        </is>
      </c>
      <c r="E137" s="3" t="inlineStr">
        <is>
          <t>山本企画 二郎</t>
        </is>
      </c>
      <c r="F137" s="3" t="inlineStr">
        <is>
          <t>customer136@example.jp</t>
        </is>
      </c>
      <c r="G137" s="9" t="n">
        <v>46150</v>
      </c>
      <c r="H137" s="9" t="n">
        <v>46157</v>
      </c>
      <c r="I137" s="10" t="n">
        <v>46149.41111111111</v>
      </c>
    </row>
    <row r="138">
      <c r="A138" s="8" t="n">
        <v>137</v>
      </c>
      <c r="B138" s="3" t="inlineStr">
        <is>
          <t>202605137</t>
        </is>
      </c>
      <c r="C138" s="3" t="inlineStr">
        <is>
          <t>木村 太郎</t>
        </is>
      </c>
      <c r="D138" s="3" t="inlineStr">
        <is>
          <t>林 遥</t>
        </is>
      </c>
      <c r="E138" s="3" t="inlineStr">
        <is>
          <t>林企画 遥</t>
        </is>
      </c>
      <c r="F138" s="3" t="inlineStr">
        <is>
          <t>customer137@example.jp</t>
        </is>
      </c>
      <c r="G138" s="9" t="n">
        <v>46152</v>
      </c>
      <c r="H138" s="9" t="n">
        <v>46160</v>
      </c>
      <c r="I138" s="10" t="n">
        <v>46151.45763888889</v>
      </c>
    </row>
    <row r="139">
      <c r="A139" s="8" t="n">
        <v>138</v>
      </c>
      <c r="B139" s="3" t="inlineStr">
        <is>
          <t>202605138</t>
        </is>
      </c>
      <c r="C139" s="3" t="inlineStr">
        <is>
          <t>佐藤 花子</t>
        </is>
      </c>
      <c r="D139" s="3" t="inlineStr">
        <is>
          <t>山田 遥</t>
        </is>
      </c>
      <c r="E139" s="3" t="inlineStr">
        <is>
          <t>山田企画 遥</t>
        </is>
      </c>
      <c r="F139" s="3" t="inlineStr">
        <is>
          <t>customer138@example.jp</t>
        </is>
      </c>
      <c r="G139" s="9" t="n">
        <v>46154</v>
      </c>
      <c r="H139" s="9" t="n">
        <v>46163</v>
      </c>
      <c r="I139" s="10" t="n">
        <v>46153.4625</v>
      </c>
    </row>
    <row r="140">
      <c r="A140" s="8" t="n">
        <v>139</v>
      </c>
      <c r="B140" s="3" t="inlineStr">
        <is>
          <t>202605139</t>
        </is>
      </c>
      <c r="C140" s="3" t="inlineStr">
        <is>
          <t>高橋 健</t>
        </is>
      </c>
      <c r="D140" s="3" t="inlineStr">
        <is>
          <t>佐々木 奏</t>
        </is>
      </c>
      <c r="E140" s="3" t="inlineStr">
        <is>
          <t>佐々木企画 奏</t>
        </is>
      </c>
      <c r="F140" s="3" t="inlineStr">
        <is>
          <t>customer139@example.jp</t>
        </is>
      </c>
      <c r="G140" s="9" t="n">
        <v>46156</v>
      </c>
      <c r="H140" s="9" t="n">
        <v>46166</v>
      </c>
      <c r="I140" s="10" t="n">
        <v>46155.50902777778</v>
      </c>
    </row>
    <row r="141">
      <c r="A141" s="8" t="n">
        <v>140</v>
      </c>
      <c r="B141" s="3" t="inlineStr">
        <is>
          <t>202605140</t>
        </is>
      </c>
      <c r="C141" s="3" t="inlineStr">
        <is>
          <t>鈴木 美咲</t>
        </is>
      </c>
      <c r="D141" s="3" t="inlineStr">
        <is>
          <t>池田 一郎</t>
        </is>
      </c>
      <c r="E141" s="3" t="inlineStr">
        <is>
          <t>池田企画 一郎</t>
        </is>
      </c>
      <c r="F141" s="3" t="inlineStr">
        <is>
          <t>customer140@example.jp</t>
        </is>
      </c>
      <c r="G141" s="9" t="n">
        <v>46158</v>
      </c>
      <c r="H141" s="9" t="n">
        <v>46169</v>
      </c>
      <c r="I141" s="10" t="n">
        <v>46157.55555555555</v>
      </c>
    </row>
    <row r="142">
      <c r="A142" s="8" t="n">
        <v>141</v>
      </c>
      <c r="B142" s="3" t="inlineStr">
        <is>
          <t>202605141</t>
        </is>
      </c>
      <c r="C142" s="3" t="inlineStr">
        <is>
          <t>伊藤 翔</t>
        </is>
      </c>
      <c r="D142" s="3" t="inlineStr">
        <is>
          <t>林 和也</t>
        </is>
      </c>
      <c r="E142" s="3" t="inlineStr">
        <is>
          <t>林企画 和也</t>
        </is>
      </c>
      <c r="F142" s="3" t="inlineStr">
        <is>
          <t>customer141@example.jp</t>
        </is>
      </c>
      <c r="G142" s="9" t="n">
        <v>46160</v>
      </c>
      <c r="H142" s="9" t="n">
        <v>46172</v>
      </c>
      <c r="I142" s="10" t="n">
        <v>46159.60208333333</v>
      </c>
    </row>
    <row r="143">
      <c r="A143" s="8" t="n">
        <v>142</v>
      </c>
      <c r="B143" s="3" t="inlineStr">
        <is>
          <t>202605142</t>
        </is>
      </c>
      <c r="C143" s="3" t="inlineStr">
        <is>
          <t>中村 優奈</t>
        </is>
      </c>
      <c r="D143" s="3" t="inlineStr">
        <is>
          <t>林 二郎</t>
        </is>
      </c>
      <c r="E143" s="3" t="inlineStr">
        <is>
          <t>林企画 二郎</t>
        </is>
      </c>
      <c r="F143" s="3" t="inlineStr">
        <is>
          <t>customer142@example.jp</t>
        </is>
      </c>
      <c r="G143" s="9" t="n">
        <v>46162</v>
      </c>
      <c r="H143" s="9" t="n">
        <v>46175</v>
      </c>
      <c r="I143" s="10" t="n">
        <v>46161.64861111111</v>
      </c>
    </row>
    <row r="144">
      <c r="A144" s="8" t="n">
        <v>143</v>
      </c>
      <c r="B144" s="3" t="inlineStr">
        <is>
          <t>202605143</t>
        </is>
      </c>
      <c r="C144" s="3" t="inlineStr">
        <is>
          <t>小林 陽介</t>
        </is>
      </c>
      <c r="D144" s="3" t="inlineStr">
        <is>
          <t>田中 遥</t>
        </is>
      </c>
      <c r="E144" s="3" t="inlineStr">
        <is>
          <t>田中企画 遥</t>
        </is>
      </c>
      <c r="F144" s="3" t="inlineStr">
        <is>
          <t>customer143@example.jp</t>
        </is>
      </c>
      <c r="G144" s="9" t="n">
        <v>46164</v>
      </c>
      <c r="H144" s="9" t="n">
        <v>46178</v>
      </c>
      <c r="I144" s="10" t="n">
        <v>46163.69513888889</v>
      </c>
    </row>
    <row r="145">
      <c r="A145" s="8" t="n">
        <v>144</v>
      </c>
      <c r="B145" s="3" t="inlineStr">
        <is>
          <t>202605144</t>
        </is>
      </c>
      <c r="C145" s="3" t="inlineStr">
        <is>
          <t>加藤 彩</t>
        </is>
      </c>
      <c r="D145" s="3" t="inlineStr">
        <is>
          <t>池田 涼</t>
        </is>
      </c>
      <c r="E145" s="3" t="inlineStr">
        <is>
          <t>池田企画 涼</t>
        </is>
      </c>
      <c r="F145" s="3" t="inlineStr">
        <is>
          <t>customer144@example.jp</t>
        </is>
      </c>
      <c r="G145" s="9" t="n">
        <v>46166</v>
      </c>
      <c r="H145" s="9" t="n">
        <v>46173</v>
      </c>
      <c r="I145" s="10" t="n">
        <v>46165.40833333333</v>
      </c>
    </row>
    <row r="146">
      <c r="A146" s="8" t="n">
        <v>145</v>
      </c>
      <c r="B146" s="3" t="inlineStr">
        <is>
          <t>202605145</t>
        </is>
      </c>
      <c r="C146" s="3" t="inlineStr">
        <is>
          <t>木村 太郎</t>
        </is>
      </c>
      <c r="D146" s="3" t="inlineStr">
        <is>
          <t>山本 愛</t>
        </is>
      </c>
      <c r="E146" s="3" t="inlineStr">
        <is>
          <t>山本企画 愛</t>
        </is>
      </c>
      <c r="F146" s="3" t="inlineStr">
        <is>
          <t>customer145@example.jp</t>
        </is>
      </c>
      <c r="G146" s="9" t="n">
        <v>46168</v>
      </c>
      <c r="H146" s="9" t="n">
        <v>46176</v>
      </c>
      <c r="I146" s="10" t="n">
        <v>46167.45486111111</v>
      </c>
    </row>
    <row r="147">
      <c r="A147" s="8" t="n">
        <v>146</v>
      </c>
      <c r="B147" s="3" t="inlineStr">
        <is>
          <t>202605146</t>
        </is>
      </c>
      <c r="C147" s="3" t="inlineStr">
        <is>
          <t>佐藤 花子</t>
        </is>
      </c>
      <c r="D147" s="3" t="inlineStr">
        <is>
          <t>伊藤 愛</t>
        </is>
      </c>
      <c r="E147" s="3" t="inlineStr">
        <is>
          <t>伊藤企画 愛</t>
        </is>
      </c>
      <c r="F147" s="3" t="inlineStr">
        <is>
          <t>customer146@example.jp</t>
        </is>
      </c>
      <c r="G147" s="9" t="n">
        <v>46170</v>
      </c>
      <c r="H147" s="9" t="n">
        <v>46179</v>
      </c>
      <c r="I147" s="10" t="n">
        <v>46169.45972222222</v>
      </c>
    </row>
    <row r="148">
      <c r="A148" s="8" t="n">
        <v>147</v>
      </c>
      <c r="B148" s="3" t="inlineStr">
        <is>
          <t>202605147</t>
        </is>
      </c>
      <c r="C148" s="3" t="inlineStr">
        <is>
          <t>高橋 健</t>
        </is>
      </c>
      <c r="D148" s="3" t="inlineStr">
        <is>
          <t>井上 奏</t>
        </is>
      </c>
      <c r="E148" s="3" t="inlineStr">
        <is>
          <t>井上企画 奏</t>
        </is>
      </c>
      <c r="F148" s="3" t="inlineStr">
        <is>
          <t>customer147@example.jp</t>
        </is>
      </c>
      <c r="G148" s="9" t="n">
        <v>46172</v>
      </c>
      <c r="H148" s="9" t="n">
        <v>46182</v>
      </c>
      <c r="I148" s="10" t="n">
        <v>46171.50625</v>
      </c>
    </row>
    <row r="149">
      <c r="A149" s="8" t="n">
        <v>148</v>
      </c>
      <c r="B149" s="3" t="inlineStr">
        <is>
          <t>202606148</t>
        </is>
      </c>
      <c r="C149" s="3" t="inlineStr">
        <is>
          <t>鈴木 美咲</t>
        </is>
      </c>
      <c r="D149" s="3" t="inlineStr">
        <is>
          <t>渡辺 遥</t>
        </is>
      </c>
      <c r="E149" s="3" t="inlineStr">
        <is>
          <t>渡辺企画 遥</t>
        </is>
      </c>
      <c r="F149" s="3" t="inlineStr">
        <is>
          <t>customer148@example.jp</t>
        </is>
      </c>
      <c r="G149" s="9" t="n">
        <v>46174</v>
      </c>
      <c r="H149" s="9" t="n">
        <v>46185</v>
      </c>
      <c r="I149" s="10" t="n">
        <v>46173.55277777778</v>
      </c>
    </row>
    <row r="150">
      <c r="A150" s="8" t="n">
        <v>149</v>
      </c>
      <c r="B150" s="3" t="inlineStr">
        <is>
          <t>202606149</t>
        </is>
      </c>
      <c r="C150" s="3" t="inlineStr">
        <is>
          <t>伊藤 翔</t>
        </is>
      </c>
      <c r="D150" s="3" t="inlineStr">
        <is>
          <t>渡辺 恵</t>
        </is>
      </c>
      <c r="E150" s="3" t="inlineStr">
        <is>
          <t>渡辺企画 恵</t>
        </is>
      </c>
      <c r="F150" s="3" t="inlineStr">
        <is>
          <t>customer149@example.jp</t>
        </is>
      </c>
      <c r="G150" s="9" t="n">
        <v>46176</v>
      </c>
      <c r="H150" s="9" t="n">
        <v>46188</v>
      </c>
      <c r="I150" s="10" t="n">
        <v>46175.59930555556</v>
      </c>
    </row>
    <row r="151">
      <c r="A151" s="8" t="n">
        <v>150</v>
      </c>
      <c r="B151" s="3" t="inlineStr">
        <is>
          <t>202601150</t>
        </is>
      </c>
      <c r="C151" s="3" t="inlineStr">
        <is>
          <t>中村 優奈</t>
        </is>
      </c>
      <c r="D151" s="3" t="inlineStr">
        <is>
          <t>松本 愛</t>
        </is>
      </c>
      <c r="E151" s="3" t="inlineStr">
        <is>
          <t>松本企画 愛</t>
        </is>
      </c>
      <c r="F151" s="3" t="inlineStr">
        <is>
          <t>customer150@example.jp</t>
        </is>
      </c>
      <c r="G151" s="9" t="n">
        <v>46028</v>
      </c>
      <c r="H151" s="9" t="n">
        <v>46041</v>
      </c>
      <c r="I151" s="10" t="n">
        <v>46027.64583333334</v>
      </c>
    </row>
    <row r="152">
      <c r="A152" s="8" t="n">
        <v>151</v>
      </c>
      <c r="B152" s="3" t="inlineStr">
        <is>
          <t>202601151</t>
        </is>
      </c>
      <c r="C152" s="3" t="inlineStr">
        <is>
          <t>小林 陽介</t>
        </is>
      </c>
      <c r="D152" s="3" t="inlineStr">
        <is>
          <t>山本 奏</t>
        </is>
      </c>
      <c r="E152" s="3" t="inlineStr">
        <is>
          <t>山本企画 奏</t>
        </is>
      </c>
      <c r="F152" s="3" t="inlineStr">
        <is>
          <t>customer151@example.jp</t>
        </is>
      </c>
      <c r="G152" s="9" t="n">
        <v>46030</v>
      </c>
      <c r="H152" s="9" t="n">
        <v>46044</v>
      </c>
      <c r="I152" s="10" t="n">
        <v>46029.69236111111</v>
      </c>
    </row>
    <row r="153">
      <c r="A153" s="8" t="n">
        <v>152</v>
      </c>
      <c r="B153" s="3" t="inlineStr">
        <is>
          <t>202601152</t>
        </is>
      </c>
      <c r="C153" s="3" t="inlineStr">
        <is>
          <t>加藤 彩</t>
        </is>
      </c>
      <c r="D153" s="3" t="inlineStr">
        <is>
          <t>井上 二郎</t>
        </is>
      </c>
      <c r="E153" s="3" t="inlineStr">
        <is>
          <t>井上企画 二郎</t>
        </is>
      </c>
      <c r="F153" s="3" t="inlineStr">
        <is>
          <t>customer152@example.jp</t>
        </is>
      </c>
      <c r="G153" s="9" t="n">
        <v>46032</v>
      </c>
      <c r="H153" s="9" t="n">
        <v>46039</v>
      </c>
      <c r="I153" s="10" t="n">
        <v>46031.40555555555</v>
      </c>
    </row>
    <row r="154">
      <c r="A154" s="8" t="n">
        <v>153</v>
      </c>
      <c r="B154" s="3" t="inlineStr">
        <is>
          <t>202601153</t>
        </is>
      </c>
      <c r="C154" s="3" t="inlineStr">
        <is>
          <t>木村 太郎</t>
        </is>
      </c>
      <c r="D154" s="3" t="inlineStr">
        <is>
          <t>田中 和也</t>
        </is>
      </c>
      <c r="E154" s="3" t="inlineStr">
        <is>
          <t>田中企画 和也</t>
        </is>
      </c>
      <c r="F154" s="3" t="inlineStr">
        <is>
          <t>customer153@example.jp</t>
        </is>
      </c>
      <c r="G154" s="9" t="n">
        <v>46034</v>
      </c>
      <c r="H154" s="9" t="n">
        <v>46042</v>
      </c>
      <c r="I154" s="10" t="n">
        <v>46033.45208333333</v>
      </c>
    </row>
    <row r="155">
      <c r="A155" s="8" t="n">
        <v>154</v>
      </c>
      <c r="B155" s="3" t="inlineStr">
        <is>
          <t>202601154</t>
        </is>
      </c>
      <c r="C155" s="3" t="inlineStr">
        <is>
          <t>佐藤 花子</t>
        </is>
      </c>
      <c r="D155" s="3" t="inlineStr">
        <is>
          <t>井上 一郎</t>
        </is>
      </c>
      <c r="E155" s="3" t="inlineStr">
        <is>
          <t>井上企画 一郎</t>
        </is>
      </c>
      <c r="F155" s="3" t="inlineStr">
        <is>
          <t>customer154@example.jp</t>
        </is>
      </c>
      <c r="G155" s="9" t="n">
        <v>46036</v>
      </c>
      <c r="H155" s="9" t="n">
        <v>46045</v>
      </c>
      <c r="I155" s="10" t="n">
        <v>46035.49861111111</v>
      </c>
    </row>
    <row r="156">
      <c r="A156" s="8" t="n">
        <v>155</v>
      </c>
      <c r="B156" s="3" t="inlineStr">
        <is>
          <t>202601155</t>
        </is>
      </c>
      <c r="C156" s="3" t="inlineStr">
        <is>
          <t>高橋 健</t>
        </is>
      </c>
      <c r="D156" s="3" t="inlineStr">
        <is>
          <t>山本 愛</t>
        </is>
      </c>
      <c r="E156" s="3" t="inlineStr">
        <is>
          <t>山本企画 愛</t>
        </is>
      </c>
      <c r="F156" s="3" t="inlineStr">
        <is>
          <t>customer155@example.jp</t>
        </is>
      </c>
      <c r="G156" s="9" t="n">
        <v>46038</v>
      </c>
      <c r="H156" s="9" t="n">
        <v>46048</v>
      </c>
      <c r="I156" s="10" t="n">
        <v>46037.50347222222</v>
      </c>
    </row>
    <row r="157">
      <c r="A157" s="8" t="n">
        <v>156</v>
      </c>
      <c r="B157" s="3" t="inlineStr">
        <is>
          <t>202601156</t>
        </is>
      </c>
      <c r="C157" s="3" t="inlineStr">
        <is>
          <t>鈴木 美咲</t>
        </is>
      </c>
      <c r="D157" s="3" t="inlineStr">
        <is>
          <t>渡辺 遥</t>
        </is>
      </c>
      <c r="E157" s="3" t="inlineStr">
        <is>
          <t>渡辺企画 遥</t>
        </is>
      </c>
      <c r="F157" s="3" t="inlineStr">
        <is>
          <t>customer156@example.jp</t>
        </is>
      </c>
      <c r="G157" s="9" t="n">
        <v>46040</v>
      </c>
      <c r="H157" s="9" t="n">
        <v>46051</v>
      </c>
      <c r="I157" s="10" t="n">
        <v>46039.55</v>
      </c>
    </row>
    <row r="158">
      <c r="A158" s="8" t="n">
        <v>157</v>
      </c>
      <c r="B158" s="3" t="inlineStr">
        <is>
          <t>202601157</t>
        </is>
      </c>
      <c r="C158" s="3" t="inlineStr">
        <is>
          <t>伊藤 翔</t>
        </is>
      </c>
      <c r="D158" s="3" t="inlineStr">
        <is>
          <t>松本 奏</t>
        </is>
      </c>
      <c r="E158" s="3" t="inlineStr">
        <is>
          <t>松本企画 奏</t>
        </is>
      </c>
      <c r="F158" s="3" t="inlineStr">
        <is>
          <t>customer157@example.jp</t>
        </is>
      </c>
      <c r="G158" s="9" t="n">
        <v>46042</v>
      </c>
      <c r="H158" s="9" t="n">
        <v>46054</v>
      </c>
      <c r="I158" s="10" t="n">
        <v>46041.59652777778</v>
      </c>
    </row>
    <row r="159">
      <c r="A159" s="8" t="n">
        <v>158</v>
      </c>
      <c r="B159" s="3" t="inlineStr">
        <is>
          <t>202601158</t>
        </is>
      </c>
      <c r="C159" s="3" t="inlineStr">
        <is>
          <t>中村 優奈</t>
        </is>
      </c>
      <c r="D159" s="3" t="inlineStr">
        <is>
          <t>伊藤 遥</t>
        </is>
      </c>
      <c r="E159" s="3" t="inlineStr">
        <is>
          <t>伊藤企画 遥</t>
        </is>
      </c>
      <c r="F159" s="3" t="inlineStr">
        <is>
          <t>customer158@example.jp</t>
        </is>
      </c>
      <c r="G159" s="9" t="n">
        <v>46044</v>
      </c>
      <c r="H159" s="9" t="n">
        <v>46057</v>
      </c>
      <c r="I159" s="10" t="n">
        <v>46043.64305555556</v>
      </c>
    </row>
    <row r="160">
      <c r="A160" s="8" t="n">
        <v>159</v>
      </c>
      <c r="B160" s="3" t="inlineStr">
        <is>
          <t>202601159</t>
        </is>
      </c>
      <c r="C160" s="3" t="inlineStr">
        <is>
          <t>小林 陽介</t>
        </is>
      </c>
      <c r="D160" s="3" t="inlineStr">
        <is>
          <t>田中 美咲</t>
        </is>
      </c>
      <c r="E160" s="3" t="inlineStr">
        <is>
          <t>田中企画 美咲</t>
        </is>
      </c>
      <c r="F160" s="3" t="inlineStr">
        <is>
          <t>customer159@example.jp</t>
        </is>
      </c>
      <c r="G160" s="9" t="n">
        <v>46046</v>
      </c>
      <c r="H160" s="9" t="n">
        <v>46060</v>
      </c>
      <c r="I160" s="10" t="n">
        <v>46045.68958333333</v>
      </c>
    </row>
    <row r="161">
      <c r="A161" s="8" t="n">
        <v>160</v>
      </c>
      <c r="B161" s="3" t="inlineStr">
        <is>
          <t>202601160</t>
        </is>
      </c>
      <c r="C161" s="3" t="inlineStr">
        <is>
          <t>加藤 彩</t>
        </is>
      </c>
      <c r="D161" s="3" t="inlineStr">
        <is>
          <t>佐々木 一郎</t>
        </is>
      </c>
      <c r="E161" s="3" t="inlineStr">
        <is>
          <t>佐々木企画 一郎</t>
        </is>
      </c>
      <c r="F161" s="3" t="inlineStr">
        <is>
          <t>customer160@example.jp</t>
        </is>
      </c>
      <c r="G161" s="9" t="n">
        <v>46048</v>
      </c>
      <c r="H161" s="9" t="n">
        <v>46055</v>
      </c>
      <c r="I161" s="10" t="n">
        <v>46047.40277777778</v>
      </c>
    </row>
    <row r="162">
      <c r="A162" s="8" t="n">
        <v>161</v>
      </c>
      <c r="B162" s="3" t="inlineStr">
        <is>
          <t>202601161</t>
        </is>
      </c>
      <c r="C162" s="3" t="inlineStr">
        <is>
          <t>木村 太郎</t>
        </is>
      </c>
      <c r="D162" s="3" t="inlineStr">
        <is>
          <t>佐々木 恵</t>
        </is>
      </c>
      <c r="E162" s="3" t="inlineStr">
        <is>
          <t>佐々木企画 恵</t>
        </is>
      </c>
      <c r="F162" s="3" t="inlineStr">
        <is>
          <t>customer161@example.jp</t>
        </is>
      </c>
      <c r="G162" s="9" t="n">
        <v>46050</v>
      </c>
      <c r="H162" s="9" t="n">
        <v>46058</v>
      </c>
      <c r="I162" s="10" t="n">
        <v>46049.44930555556</v>
      </c>
    </row>
    <row r="163">
      <c r="A163" s="8" t="n">
        <v>162</v>
      </c>
      <c r="B163" s="3" t="inlineStr">
        <is>
          <t>202601162</t>
        </is>
      </c>
      <c r="C163" s="3" t="inlineStr">
        <is>
          <t>佐藤 花子</t>
        </is>
      </c>
      <c r="D163" s="3" t="inlineStr">
        <is>
          <t>松本 恵</t>
        </is>
      </c>
      <c r="E163" s="3" t="inlineStr">
        <is>
          <t>松本企画 恵</t>
        </is>
      </c>
      <c r="F163" s="3" t="inlineStr">
        <is>
          <t>customer162@example.jp</t>
        </is>
      </c>
      <c r="G163" s="9" t="n">
        <v>46052</v>
      </c>
      <c r="H163" s="9" t="n">
        <v>46061</v>
      </c>
      <c r="I163" s="10" t="n">
        <v>46051.49583333333</v>
      </c>
    </row>
    <row r="164">
      <c r="A164" s="8" t="n">
        <v>163</v>
      </c>
      <c r="B164" s="3" t="inlineStr">
        <is>
          <t>202602163</t>
        </is>
      </c>
      <c r="C164" s="3" t="inlineStr">
        <is>
          <t>高橋 健</t>
        </is>
      </c>
      <c r="D164" s="3" t="inlineStr">
        <is>
          <t>佐々木 莉子</t>
        </is>
      </c>
      <c r="E164" s="3" t="inlineStr">
        <is>
          <t>佐々木企画 莉子</t>
        </is>
      </c>
      <c r="F164" s="3" t="inlineStr">
        <is>
          <t>customer163@example.jp</t>
        </is>
      </c>
      <c r="G164" s="9" t="n">
        <v>46054</v>
      </c>
      <c r="H164" s="9" t="n">
        <v>46064</v>
      </c>
      <c r="I164" s="10" t="n">
        <v>46053.50069444445</v>
      </c>
    </row>
    <row r="165">
      <c r="A165" s="8" t="n">
        <v>164</v>
      </c>
      <c r="B165" s="3" t="inlineStr">
        <is>
          <t>202602164</t>
        </is>
      </c>
      <c r="C165" s="3" t="inlineStr">
        <is>
          <t>鈴木 美咲</t>
        </is>
      </c>
      <c r="D165" s="3" t="inlineStr">
        <is>
          <t>池田 大輔</t>
        </is>
      </c>
      <c r="E165" s="3" t="inlineStr">
        <is>
          <t>池田企画 大輔</t>
        </is>
      </c>
      <c r="F165" s="3" t="inlineStr">
        <is>
          <t>customer164@example.jp</t>
        </is>
      </c>
      <c r="G165" s="9" t="n">
        <v>46056</v>
      </c>
      <c r="H165" s="9" t="n">
        <v>46067</v>
      </c>
      <c r="I165" s="10" t="n">
        <v>46055.54722222222</v>
      </c>
    </row>
    <row r="166">
      <c r="A166" s="8" t="n">
        <v>165</v>
      </c>
      <c r="B166" s="3" t="inlineStr">
        <is>
          <t>202602165</t>
        </is>
      </c>
      <c r="C166" s="3" t="inlineStr">
        <is>
          <t>伊藤 翔</t>
        </is>
      </c>
      <c r="D166" s="3" t="inlineStr">
        <is>
          <t>林 莉子</t>
        </is>
      </c>
      <c r="E166" s="3" t="inlineStr">
        <is>
          <t>林企画 莉子</t>
        </is>
      </c>
      <c r="F166" s="3" t="inlineStr">
        <is>
          <t>customer165@example.jp</t>
        </is>
      </c>
      <c r="G166" s="9" t="n">
        <v>46058</v>
      </c>
      <c r="H166" s="9" t="n">
        <v>46070</v>
      </c>
      <c r="I166" s="10" t="n">
        <v>46057.59375</v>
      </c>
    </row>
    <row r="167">
      <c r="A167" s="8" t="n">
        <v>166</v>
      </c>
      <c r="B167" s="3" t="inlineStr">
        <is>
          <t>202602166</t>
        </is>
      </c>
      <c r="C167" s="3" t="inlineStr">
        <is>
          <t>中村 優奈</t>
        </is>
      </c>
      <c r="D167" s="3" t="inlineStr">
        <is>
          <t>松本 美咲</t>
        </is>
      </c>
      <c r="E167" s="3" t="inlineStr">
        <is>
          <t>松本企画 美咲</t>
        </is>
      </c>
      <c r="F167" s="3" t="inlineStr">
        <is>
          <t>customer166@example.jp</t>
        </is>
      </c>
      <c r="G167" s="9" t="n">
        <v>46060</v>
      </c>
      <c r="H167" s="9" t="n">
        <v>46073</v>
      </c>
      <c r="I167" s="10" t="n">
        <v>46059.64027777778</v>
      </c>
    </row>
    <row r="168">
      <c r="A168" s="8" t="n">
        <v>167</v>
      </c>
      <c r="B168" s="3" t="inlineStr">
        <is>
          <t>202602167</t>
        </is>
      </c>
      <c r="C168" s="3" t="inlineStr">
        <is>
          <t>小林 陽介</t>
        </is>
      </c>
      <c r="D168" s="3" t="inlineStr">
        <is>
          <t>伊藤 恵</t>
        </is>
      </c>
      <c r="E168" s="3" t="inlineStr">
        <is>
          <t>伊藤企画 恵</t>
        </is>
      </c>
      <c r="F168" s="3" t="inlineStr">
        <is>
          <t>customer167@example.jp</t>
        </is>
      </c>
      <c r="G168" s="9" t="n">
        <v>46062</v>
      </c>
      <c r="H168" s="9" t="n">
        <v>46076</v>
      </c>
      <c r="I168" s="10" t="n">
        <v>46061.68680555555</v>
      </c>
    </row>
    <row r="169">
      <c r="A169" s="8" t="n">
        <v>168</v>
      </c>
      <c r="B169" s="3" t="inlineStr">
        <is>
          <t>202602168</t>
        </is>
      </c>
      <c r="C169" s="3" t="inlineStr">
        <is>
          <t>加藤 彩</t>
        </is>
      </c>
      <c r="D169" s="3" t="inlineStr">
        <is>
          <t>伊藤 一郎</t>
        </is>
      </c>
      <c r="E169" s="3" t="inlineStr">
        <is>
          <t>伊藤企画 一郎</t>
        </is>
      </c>
      <c r="F169" s="3" t="inlineStr">
        <is>
          <t>customer168@example.jp</t>
        </is>
      </c>
      <c r="G169" s="9" t="n">
        <v>46064</v>
      </c>
      <c r="H169" s="9" t="n">
        <v>46071</v>
      </c>
      <c r="I169" s="10" t="n">
        <v>46063.4</v>
      </c>
    </row>
    <row r="170">
      <c r="A170" s="8" t="n">
        <v>169</v>
      </c>
      <c r="B170" s="3" t="inlineStr">
        <is>
          <t>202602169</t>
        </is>
      </c>
      <c r="C170" s="3" t="inlineStr">
        <is>
          <t>木村 太郎</t>
        </is>
      </c>
      <c r="D170" s="3" t="inlineStr">
        <is>
          <t>清水 莉子</t>
        </is>
      </c>
      <c r="E170" s="3" t="inlineStr">
        <is>
          <t>清水企画 莉子</t>
        </is>
      </c>
      <c r="F170" s="3" t="inlineStr">
        <is>
          <t>customer169@example.jp</t>
        </is>
      </c>
      <c r="G170" s="9" t="n">
        <v>46066</v>
      </c>
      <c r="H170" s="9" t="n">
        <v>46074</v>
      </c>
      <c r="I170" s="10" t="n">
        <v>46065.44652777778</v>
      </c>
    </row>
    <row r="171">
      <c r="A171" s="8" t="n">
        <v>170</v>
      </c>
      <c r="B171" s="3" t="inlineStr">
        <is>
          <t>202602170</t>
        </is>
      </c>
      <c r="C171" s="3" t="inlineStr">
        <is>
          <t>佐藤 花子</t>
        </is>
      </c>
      <c r="D171" s="3" t="inlineStr">
        <is>
          <t>井上 一郎</t>
        </is>
      </c>
      <c r="E171" s="3" t="inlineStr">
        <is>
          <t>井上企画 一郎</t>
        </is>
      </c>
      <c r="F171" s="3" t="inlineStr">
        <is>
          <t>customer170@example.jp</t>
        </is>
      </c>
      <c r="G171" s="9" t="n">
        <v>46068</v>
      </c>
      <c r="H171" s="9" t="n">
        <v>46077</v>
      </c>
      <c r="I171" s="10" t="n">
        <v>46067.49305555555</v>
      </c>
    </row>
    <row r="172">
      <c r="A172" s="8" t="n">
        <v>171</v>
      </c>
      <c r="B172" s="3" t="inlineStr">
        <is>
          <t>202602171</t>
        </is>
      </c>
      <c r="C172" s="3" t="inlineStr">
        <is>
          <t>高橋 健</t>
        </is>
      </c>
      <c r="D172" s="3" t="inlineStr">
        <is>
          <t>池田 涼</t>
        </is>
      </c>
      <c r="E172" s="3" t="inlineStr">
        <is>
          <t>池田企画 涼</t>
        </is>
      </c>
      <c r="F172" s="3" t="inlineStr">
        <is>
          <t>customer171@example.jp</t>
        </is>
      </c>
      <c r="G172" s="9" t="n">
        <v>46070</v>
      </c>
      <c r="H172" s="9" t="n">
        <v>46080</v>
      </c>
      <c r="I172" s="10" t="n">
        <v>46069.53958333333</v>
      </c>
    </row>
    <row r="173">
      <c r="A173" s="8" t="n">
        <v>172</v>
      </c>
      <c r="B173" s="3" t="inlineStr">
        <is>
          <t>202602172</t>
        </is>
      </c>
      <c r="C173" s="3" t="inlineStr">
        <is>
          <t>鈴木 美咲</t>
        </is>
      </c>
      <c r="D173" s="3" t="inlineStr">
        <is>
          <t>田中 一郎</t>
        </is>
      </c>
      <c r="E173" s="3" t="inlineStr">
        <is>
          <t>田中企画 一郎</t>
        </is>
      </c>
      <c r="F173" s="3" t="inlineStr">
        <is>
          <t>customer172@example.jp</t>
        </is>
      </c>
      <c r="G173" s="9" t="n">
        <v>46072</v>
      </c>
      <c r="H173" s="9" t="n">
        <v>46083</v>
      </c>
      <c r="I173" s="10" t="n">
        <v>46071.54444444444</v>
      </c>
    </row>
    <row r="174">
      <c r="A174" s="8" t="n">
        <v>173</v>
      </c>
      <c r="B174" s="3" t="inlineStr">
        <is>
          <t>202602173</t>
        </is>
      </c>
      <c r="C174" s="3" t="inlineStr">
        <is>
          <t>伊藤 翔</t>
        </is>
      </c>
      <c r="D174" s="3" t="inlineStr">
        <is>
          <t>清水 奏</t>
        </is>
      </c>
      <c r="E174" s="3" t="inlineStr">
        <is>
          <t>清水企画 奏</t>
        </is>
      </c>
      <c r="F174" s="3" t="inlineStr">
        <is>
          <t>customer173@example.jp</t>
        </is>
      </c>
      <c r="G174" s="9" t="n">
        <v>46074</v>
      </c>
      <c r="H174" s="9" t="n">
        <v>46086</v>
      </c>
      <c r="I174" s="10" t="n">
        <v>46073.59097222222</v>
      </c>
    </row>
    <row r="175">
      <c r="A175" s="8" t="n">
        <v>174</v>
      </c>
      <c r="B175" s="3" t="inlineStr">
        <is>
          <t>202602174</t>
        </is>
      </c>
      <c r="C175" s="3" t="inlineStr">
        <is>
          <t>中村 優奈</t>
        </is>
      </c>
      <c r="D175" s="3" t="inlineStr">
        <is>
          <t>井上 大輔</t>
        </is>
      </c>
      <c r="E175" s="3" t="inlineStr">
        <is>
          <t>井上企画 大輔</t>
        </is>
      </c>
      <c r="F175" s="3" t="inlineStr">
        <is>
          <t>customer174@example.jp</t>
        </is>
      </c>
      <c r="G175" s="9" t="n">
        <v>46076</v>
      </c>
      <c r="H175" s="9" t="n">
        <v>46089</v>
      </c>
      <c r="I175" s="10" t="n">
        <v>46075.6375</v>
      </c>
    </row>
    <row r="176">
      <c r="A176" s="8" t="n">
        <v>175</v>
      </c>
      <c r="B176" s="3" t="inlineStr">
        <is>
          <t>202602175</t>
        </is>
      </c>
      <c r="C176" s="3" t="inlineStr">
        <is>
          <t>小林 陽介</t>
        </is>
      </c>
      <c r="D176" s="3" t="inlineStr">
        <is>
          <t>渡辺 一郎</t>
        </is>
      </c>
      <c r="E176" s="3" t="inlineStr">
        <is>
          <t>渡辺企画 一郎</t>
        </is>
      </c>
      <c r="F176" s="3" t="inlineStr">
        <is>
          <t>customer175@example.jp</t>
        </is>
      </c>
      <c r="G176" s="9" t="n">
        <v>46078</v>
      </c>
      <c r="H176" s="9" t="n">
        <v>46092</v>
      </c>
      <c r="I176" s="10" t="n">
        <v>46077.68402777778</v>
      </c>
    </row>
    <row r="177">
      <c r="A177" s="8" t="n">
        <v>176</v>
      </c>
      <c r="B177" s="3" t="inlineStr">
        <is>
          <t>202602176</t>
        </is>
      </c>
      <c r="C177" s="3" t="inlineStr">
        <is>
          <t>加藤 彩</t>
        </is>
      </c>
      <c r="D177" s="3" t="inlineStr">
        <is>
          <t>井上 二郎</t>
        </is>
      </c>
      <c r="E177" s="3" t="inlineStr">
        <is>
          <t>井上企画 二郎</t>
        </is>
      </c>
      <c r="F177" s="3" t="inlineStr">
        <is>
          <t>customer176@example.jp</t>
        </is>
      </c>
      <c r="G177" s="9" t="n">
        <v>46080</v>
      </c>
      <c r="H177" s="9" t="n">
        <v>46087</v>
      </c>
      <c r="I177" s="10" t="n">
        <v>46079.39722222222</v>
      </c>
    </row>
    <row r="178">
      <c r="A178" s="8" t="n">
        <v>177</v>
      </c>
      <c r="B178" s="3" t="inlineStr">
        <is>
          <t>202603177</t>
        </is>
      </c>
      <c r="C178" s="3" t="inlineStr">
        <is>
          <t>木村 太郎</t>
        </is>
      </c>
      <c r="D178" s="3" t="inlineStr">
        <is>
          <t>渡辺 二郎</t>
        </is>
      </c>
      <c r="E178" s="3" t="inlineStr">
        <is>
          <t>渡辺企画 二郎</t>
        </is>
      </c>
      <c r="F178" s="3" t="inlineStr">
        <is>
          <t>customer177@example.jp</t>
        </is>
      </c>
      <c r="G178" s="9" t="n">
        <v>46082</v>
      </c>
      <c r="H178" s="9" t="n">
        <v>46090</v>
      </c>
      <c r="I178" s="10" t="n">
        <v>46081.44375</v>
      </c>
    </row>
    <row r="179">
      <c r="A179" s="8" t="n">
        <v>178</v>
      </c>
      <c r="B179" s="3" t="inlineStr">
        <is>
          <t>202603178</t>
        </is>
      </c>
      <c r="C179" s="3" t="inlineStr">
        <is>
          <t>佐藤 花子</t>
        </is>
      </c>
      <c r="D179" s="3" t="inlineStr">
        <is>
          <t>清水 二郎</t>
        </is>
      </c>
      <c r="E179" s="3" t="inlineStr">
        <is>
          <t>清水企画 二郎</t>
        </is>
      </c>
      <c r="F179" s="3" t="inlineStr">
        <is>
          <t>customer178@example.jp</t>
        </is>
      </c>
      <c r="G179" s="9" t="n">
        <v>46084</v>
      </c>
      <c r="H179" s="9" t="n">
        <v>46093</v>
      </c>
      <c r="I179" s="10" t="n">
        <v>46083.49027777778</v>
      </c>
    </row>
    <row r="180">
      <c r="A180" s="8" t="n">
        <v>179</v>
      </c>
      <c r="B180" s="3" t="inlineStr">
        <is>
          <t>202603179</t>
        </is>
      </c>
      <c r="C180" s="3" t="inlineStr">
        <is>
          <t>高橋 健</t>
        </is>
      </c>
      <c r="D180" s="3" t="inlineStr">
        <is>
          <t>林 愛</t>
        </is>
      </c>
      <c r="E180" s="3" t="inlineStr">
        <is>
          <t>林企画 愛</t>
        </is>
      </c>
      <c r="F180" s="3" t="inlineStr">
        <is>
          <t>customer179@example.jp</t>
        </is>
      </c>
      <c r="G180" s="9" t="n">
        <v>46086</v>
      </c>
      <c r="H180" s="9" t="n">
        <v>46096</v>
      </c>
      <c r="I180" s="10" t="n">
        <v>46085.53680555556</v>
      </c>
    </row>
    <row r="181">
      <c r="A181" s="8" t="n">
        <v>180</v>
      </c>
      <c r="B181" s="3" t="inlineStr">
        <is>
          <t>202603180</t>
        </is>
      </c>
      <c r="C181" s="3" t="inlineStr">
        <is>
          <t>鈴木 美咲</t>
        </is>
      </c>
      <c r="D181" s="3" t="inlineStr">
        <is>
          <t>佐々木 二郎</t>
        </is>
      </c>
      <c r="E181" s="3" t="inlineStr">
        <is>
          <t>佐々木企画 二郎</t>
        </is>
      </c>
      <c r="F181" s="3" t="inlineStr">
        <is>
          <t>customer180@example.jp</t>
        </is>
      </c>
      <c r="G181" s="9" t="n">
        <v>46088</v>
      </c>
      <c r="H181" s="9" t="n">
        <v>46099</v>
      </c>
      <c r="I181" s="10" t="n">
        <v>46087.54166666666</v>
      </c>
    </row>
    <row r="182">
      <c r="A182" s="8" t="n">
        <v>181</v>
      </c>
      <c r="B182" s="3" t="inlineStr">
        <is>
          <t>202603181</t>
        </is>
      </c>
      <c r="C182" s="3" t="inlineStr">
        <is>
          <t>伊藤 翔</t>
        </is>
      </c>
      <c r="D182" s="3" t="inlineStr">
        <is>
          <t>清水 愛</t>
        </is>
      </c>
      <c r="E182" s="3" t="inlineStr">
        <is>
          <t>清水企画 愛</t>
        </is>
      </c>
      <c r="F182" s="3" t="inlineStr">
        <is>
          <t>customer181@example.jp</t>
        </is>
      </c>
      <c r="G182" s="9" t="n">
        <v>46090</v>
      </c>
      <c r="H182" s="9" t="n">
        <v>46102</v>
      </c>
      <c r="I182" s="10" t="n">
        <v>46089.58819444444</v>
      </c>
    </row>
    <row r="183">
      <c r="A183" s="8" t="n">
        <v>182</v>
      </c>
      <c r="B183" s="3" t="inlineStr">
        <is>
          <t>202603182</t>
        </is>
      </c>
      <c r="C183" s="3" t="inlineStr">
        <is>
          <t>中村 優奈</t>
        </is>
      </c>
      <c r="D183" s="3" t="inlineStr">
        <is>
          <t>清水 真由</t>
        </is>
      </c>
      <c r="E183" s="3" t="inlineStr">
        <is>
          <t>清水企画 真由</t>
        </is>
      </c>
      <c r="F183" s="3" t="inlineStr">
        <is>
          <t>customer182@example.jp</t>
        </is>
      </c>
      <c r="G183" s="9" t="n">
        <v>46092</v>
      </c>
      <c r="H183" s="9" t="n">
        <v>46105</v>
      </c>
      <c r="I183" s="10" t="n">
        <v>46091.63472222222</v>
      </c>
    </row>
    <row r="184">
      <c r="A184" s="8" t="n">
        <v>183</v>
      </c>
      <c r="B184" s="3" t="inlineStr">
        <is>
          <t>202603183</t>
        </is>
      </c>
      <c r="C184" s="3" t="inlineStr">
        <is>
          <t>小林 陽介</t>
        </is>
      </c>
      <c r="D184" s="3" t="inlineStr">
        <is>
          <t>田中 真由</t>
        </is>
      </c>
      <c r="E184" s="3" t="inlineStr">
        <is>
          <t>田中企画 真由</t>
        </is>
      </c>
      <c r="F184" s="3" t="inlineStr">
        <is>
          <t>customer183@example.jp</t>
        </is>
      </c>
      <c r="G184" s="9" t="n">
        <v>46094</v>
      </c>
      <c r="H184" s="9" t="n">
        <v>46108</v>
      </c>
      <c r="I184" s="10" t="n">
        <v>46093.68125</v>
      </c>
    </row>
    <row r="185">
      <c r="A185" s="8" t="n">
        <v>184</v>
      </c>
      <c r="B185" s="3" t="inlineStr">
        <is>
          <t>202603184</t>
        </is>
      </c>
      <c r="C185" s="3" t="inlineStr">
        <is>
          <t>加藤 彩</t>
        </is>
      </c>
      <c r="D185" s="3" t="inlineStr">
        <is>
          <t>山本 遥</t>
        </is>
      </c>
      <c r="E185" s="3" t="inlineStr">
        <is>
          <t>山本企画 遥</t>
        </is>
      </c>
      <c r="F185" s="3" t="inlineStr">
        <is>
          <t>customer184@example.jp</t>
        </is>
      </c>
      <c r="G185" s="9" t="n">
        <v>46096</v>
      </c>
      <c r="H185" s="9" t="n">
        <v>46103</v>
      </c>
      <c r="I185" s="10" t="n">
        <v>46095.39444444444</v>
      </c>
    </row>
    <row r="186">
      <c r="A186" s="8" t="n">
        <v>185</v>
      </c>
      <c r="B186" s="3" t="inlineStr">
        <is>
          <t>202603185</t>
        </is>
      </c>
      <c r="C186" s="3" t="inlineStr">
        <is>
          <t>木村 太郎</t>
        </is>
      </c>
      <c r="D186" s="3" t="inlineStr">
        <is>
          <t>林 真由</t>
        </is>
      </c>
      <c r="E186" s="3" t="inlineStr">
        <is>
          <t>林企画 真由</t>
        </is>
      </c>
      <c r="F186" s="3" t="inlineStr">
        <is>
          <t>customer185@example.jp</t>
        </is>
      </c>
      <c r="G186" s="9" t="n">
        <v>46098</v>
      </c>
      <c r="H186" s="9" t="n">
        <v>46106</v>
      </c>
      <c r="I186" s="10" t="n">
        <v>46097.44097222222</v>
      </c>
    </row>
    <row r="187">
      <c r="A187" s="8" t="n">
        <v>186</v>
      </c>
      <c r="B187" s="3" t="inlineStr">
        <is>
          <t>202603186</t>
        </is>
      </c>
      <c r="C187" s="3" t="inlineStr">
        <is>
          <t>佐藤 花子</t>
        </is>
      </c>
      <c r="D187" s="3" t="inlineStr">
        <is>
          <t>清水 大輔</t>
        </is>
      </c>
      <c r="E187" s="3" t="inlineStr">
        <is>
          <t>清水企画 大輔</t>
        </is>
      </c>
      <c r="F187" s="3" t="inlineStr">
        <is>
          <t>customer186@example.jp</t>
        </is>
      </c>
      <c r="G187" s="9" t="n">
        <v>46100</v>
      </c>
      <c r="H187" s="9" t="n">
        <v>46109</v>
      </c>
      <c r="I187" s="10" t="n">
        <v>46099.4875</v>
      </c>
    </row>
    <row r="188">
      <c r="A188" s="8" t="n">
        <v>187</v>
      </c>
      <c r="B188" s="3" t="inlineStr">
        <is>
          <t>202603187</t>
        </is>
      </c>
      <c r="C188" s="3" t="inlineStr">
        <is>
          <t>高橋 健</t>
        </is>
      </c>
      <c r="D188" s="3" t="inlineStr">
        <is>
          <t>山田 恵</t>
        </is>
      </c>
      <c r="E188" s="3" t="inlineStr">
        <is>
          <t>山田企画 恵</t>
        </is>
      </c>
      <c r="F188" s="3" t="inlineStr">
        <is>
          <t>customer187@example.jp</t>
        </is>
      </c>
      <c r="G188" s="9" t="n">
        <v>46102</v>
      </c>
      <c r="H188" s="9" t="n">
        <v>46112</v>
      </c>
      <c r="I188" s="10" t="n">
        <v>46101.53402777778</v>
      </c>
    </row>
    <row r="189">
      <c r="A189" s="8" t="n">
        <v>188</v>
      </c>
      <c r="B189" s="3" t="inlineStr">
        <is>
          <t>202603188</t>
        </is>
      </c>
      <c r="C189" s="3" t="inlineStr">
        <is>
          <t>鈴木 美咲</t>
        </is>
      </c>
      <c r="D189" s="3" t="inlineStr">
        <is>
          <t>伊藤 和也</t>
        </is>
      </c>
      <c r="E189" s="3" t="inlineStr">
        <is>
          <t>伊藤企画 和也</t>
        </is>
      </c>
      <c r="F189" s="3" t="inlineStr">
        <is>
          <t>customer188@example.jp</t>
        </is>
      </c>
      <c r="G189" s="9" t="n">
        <v>46104</v>
      </c>
      <c r="H189" s="9" t="n">
        <v>46115</v>
      </c>
      <c r="I189" s="10" t="n">
        <v>46103.58055555556</v>
      </c>
    </row>
    <row r="190">
      <c r="A190" s="8" t="n">
        <v>189</v>
      </c>
      <c r="B190" s="3" t="inlineStr">
        <is>
          <t>202603189</t>
        </is>
      </c>
      <c r="C190" s="3" t="inlineStr">
        <is>
          <t>伊藤 翔</t>
        </is>
      </c>
      <c r="D190" s="3" t="inlineStr">
        <is>
          <t>池田 涼</t>
        </is>
      </c>
      <c r="E190" s="3" t="inlineStr">
        <is>
          <t>池田企画 涼</t>
        </is>
      </c>
      <c r="F190" s="3" t="inlineStr">
        <is>
          <t>customer189@example.jp</t>
        </is>
      </c>
      <c r="G190" s="9" t="n">
        <v>46106</v>
      </c>
      <c r="H190" s="9" t="n">
        <v>46118</v>
      </c>
      <c r="I190" s="10" t="n">
        <v>46105.58541666667</v>
      </c>
    </row>
    <row r="191">
      <c r="A191" s="8" t="n">
        <v>190</v>
      </c>
      <c r="B191" s="3" t="inlineStr">
        <is>
          <t>202603190</t>
        </is>
      </c>
      <c r="C191" s="3" t="inlineStr">
        <is>
          <t>中村 優奈</t>
        </is>
      </c>
      <c r="D191" s="3" t="inlineStr">
        <is>
          <t>伊藤 恵</t>
        </is>
      </c>
      <c r="E191" s="3" t="inlineStr">
        <is>
          <t>伊藤企画 恵</t>
        </is>
      </c>
      <c r="F191" s="3" t="inlineStr">
        <is>
          <t>customer190@example.jp</t>
        </is>
      </c>
      <c r="G191" s="9" t="n">
        <v>46108</v>
      </c>
      <c r="H191" s="9" t="n">
        <v>46121</v>
      </c>
      <c r="I191" s="10" t="n">
        <v>46107.63194444445</v>
      </c>
    </row>
    <row r="192">
      <c r="A192" s="8" t="n">
        <v>191</v>
      </c>
      <c r="B192" s="3" t="inlineStr">
        <is>
          <t>202603191</t>
        </is>
      </c>
      <c r="C192" s="3" t="inlineStr">
        <is>
          <t>小林 陽介</t>
        </is>
      </c>
      <c r="D192" s="3" t="inlineStr">
        <is>
          <t>佐々木 美咲</t>
        </is>
      </c>
      <c r="E192" s="3" t="inlineStr">
        <is>
          <t>佐々木企画 美咲</t>
        </is>
      </c>
      <c r="F192" s="3" t="inlineStr">
        <is>
          <t>customer191@example.jp</t>
        </is>
      </c>
      <c r="G192" s="9" t="n">
        <v>46110</v>
      </c>
      <c r="H192" s="9" t="n">
        <v>46124</v>
      </c>
      <c r="I192" s="10" t="n">
        <v>46109.67847222222</v>
      </c>
    </row>
    <row r="193">
      <c r="A193" s="8" t="n">
        <v>192</v>
      </c>
      <c r="B193" s="3" t="inlineStr">
        <is>
          <t>202603192</t>
        </is>
      </c>
      <c r="C193" s="3" t="inlineStr">
        <is>
          <t>加藤 彩</t>
        </is>
      </c>
      <c r="D193" s="3" t="inlineStr">
        <is>
          <t>林 和也</t>
        </is>
      </c>
      <c r="E193" s="3" t="inlineStr">
        <is>
          <t>林企画 和也</t>
        </is>
      </c>
      <c r="F193" s="3" t="inlineStr">
        <is>
          <t>customer192@example.jp</t>
        </is>
      </c>
      <c r="G193" s="9" t="n">
        <v>46112</v>
      </c>
      <c r="H193" s="9" t="n">
        <v>46119</v>
      </c>
      <c r="I193" s="10" t="n">
        <v>46111.39166666667</v>
      </c>
    </row>
    <row r="194">
      <c r="A194" s="8" t="n">
        <v>193</v>
      </c>
      <c r="B194" s="3" t="inlineStr">
        <is>
          <t>202604193</t>
        </is>
      </c>
      <c r="C194" s="3" t="inlineStr">
        <is>
          <t>木村 太郎</t>
        </is>
      </c>
      <c r="D194" s="3" t="inlineStr">
        <is>
          <t>吉田 奏</t>
        </is>
      </c>
      <c r="E194" s="3" t="inlineStr">
        <is>
          <t>吉田企画 奏</t>
        </is>
      </c>
      <c r="F194" s="3" t="inlineStr">
        <is>
          <t>customer193@example.jp</t>
        </is>
      </c>
      <c r="G194" s="9" t="n">
        <v>46114</v>
      </c>
      <c r="H194" s="9" t="n">
        <v>46122</v>
      </c>
      <c r="I194" s="10" t="n">
        <v>46113.43819444445</v>
      </c>
    </row>
    <row r="195">
      <c r="A195" s="8" t="n">
        <v>194</v>
      </c>
      <c r="B195" s="3" t="inlineStr">
        <is>
          <t>202604194</t>
        </is>
      </c>
      <c r="C195" s="3" t="inlineStr">
        <is>
          <t>佐藤 花子</t>
        </is>
      </c>
      <c r="D195" s="3" t="inlineStr">
        <is>
          <t>山田 二郎</t>
        </is>
      </c>
      <c r="E195" s="3" t="inlineStr">
        <is>
          <t>山田企画 二郎</t>
        </is>
      </c>
      <c r="F195" s="3" t="inlineStr">
        <is>
          <t>customer194@example.jp</t>
        </is>
      </c>
      <c r="G195" s="9" t="n">
        <v>46116</v>
      </c>
      <c r="H195" s="9" t="n">
        <v>46125</v>
      </c>
      <c r="I195" s="10" t="n">
        <v>46115.48472222222</v>
      </c>
    </row>
    <row r="196">
      <c r="A196" s="8" t="n">
        <v>195</v>
      </c>
      <c r="B196" s="3" t="inlineStr">
        <is>
          <t>202604195</t>
        </is>
      </c>
      <c r="C196" s="3" t="inlineStr">
        <is>
          <t>高橋 健</t>
        </is>
      </c>
      <c r="D196" s="3" t="inlineStr">
        <is>
          <t>田中 奏</t>
        </is>
      </c>
      <c r="E196" s="3" t="inlineStr">
        <is>
          <t>田中企画 奏</t>
        </is>
      </c>
      <c r="F196" s="3" t="inlineStr">
        <is>
          <t>customer195@example.jp</t>
        </is>
      </c>
      <c r="G196" s="9" t="n">
        <v>46118</v>
      </c>
      <c r="H196" s="9" t="n">
        <v>46128</v>
      </c>
      <c r="I196" s="10" t="n">
        <v>46117.53125</v>
      </c>
    </row>
    <row r="197">
      <c r="A197" s="8" t="n">
        <v>196</v>
      </c>
      <c r="B197" s="3" t="inlineStr">
        <is>
          <t>202604196</t>
        </is>
      </c>
      <c r="C197" s="3" t="inlineStr">
        <is>
          <t>鈴木 美咲</t>
        </is>
      </c>
      <c r="D197" s="3" t="inlineStr">
        <is>
          <t>清水 真由</t>
        </is>
      </c>
      <c r="E197" s="3" t="inlineStr">
        <is>
          <t>清水企画 真由</t>
        </is>
      </c>
      <c r="F197" s="3" t="inlineStr">
        <is>
          <t>customer196@example.jp</t>
        </is>
      </c>
      <c r="G197" s="9" t="n">
        <v>46120</v>
      </c>
      <c r="H197" s="9" t="n">
        <v>46131</v>
      </c>
      <c r="I197" s="10" t="n">
        <v>46119.57777777778</v>
      </c>
    </row>
    <row r="198">
      <c r="A198" s="8" t="n">
        <v>197</v>
      </c>
      <c r="B198" s="3" t="inlineStr">
        <is>
          <t>202604197</t>
        </is>
      </c>
      <c r="C198" s="3" t="inlineStr">
        <is>
          <t>伊藤 翔</t>
        </is>
      </c>
      <c r="D198" s="3" t="inlineStr">
        <is>
          <t>山本 二郎</t>
        </is>
      </c>
      <c r="E198" s="3" t="inlineStr">
        <is>
          <t>山本企画 二郎</t>
        </is>
      </c>
      <c r="F198" s="3" t="inlineStr">
        <is>
          <t>customer197@example.jp</t>
        </is>
      </c>
      <c r="G198" s="9" t="n">
        <v>46122</v>
      </c>
      <c r="H198" s="9" t="n">
        <v>46134</v>
      </c>
      <c r="I198" s="10" t="n">
        <v>46121.62430555555</v>
      </c>
    </row>
    <row r="199">
      <c r="A199" s="8" t="n">
        <v>198</v>
      </c>
      <c r="B199" s="3" t="inlineStr">
        <is>
          <t>202604198</t>
        </is>
      </c>
      <c r="C199" s="3" t="inlineStr">
        <is>
          <t>中村 優奈</t>
        </is>
      </c>
      <c r="D199" s="3" t="inlineStr">
        <is>
          <t>井上 愛</t>
        </is>
      </c>
      <c r="E199" s="3" t="inlineStr">
        <is>
          <t>井上企画 愛</t>
        </is>
      </c>
      <c r="F199" s="3" t="inlineStr">
        <is>
          <t>customer198@example.jp</t>
        </is>
      </c>
      <c r="G199" s="9" t="n">
        <v>46124</v>
      </c>
      <c r="H199" s="9" t="n">
        <v>46137</v>
      </c>
      <c r="I199" s="10" t="n">
        <v>46123.62916666667</v>
      </c>
    </row>
    <row r="200">
      <c r="A200" s="8" t="n">
        <v>199</v>
      </c>
      <c r="B200" s="3" t="inlineStr">
        <is>
          <t>202604199</t>
        </is>
      </c>
      <c r="C200" s="3" t="inlineStr">
        <is>
          <t>小林 陽介</t>
        </is>
      </c>
      <c r="D200" s="3" t="inlineStr">
        <is>
          <t>井上 恵</t>
        </is>
      </c>
      <c r="E200" s="3" t="inlineStr">
        <is>
          <t>井上企画 恵</t>
        </is>
      </c>
      <c r="F200" s="3" t="inlineStr">
        <is>
          <t>customer199@example.jp</t>
        </is>
      </c>
      <c r="G200" s="9" t="n">
        <v>46126</v>
      </c>
      <c r="H200" s="9" t="n">
        <v>46140</v>
      </c>
      <c r="I200" s="10" t="n">
        <v>46125.67569444444</v>
      </c>
    </row>
    <row r="201">
      <c r="A201" s="8" t="n">
        <v>200</v>
      </c>
      <c r="B201" s="3" t="inlineStr">
        <is>
          <t>202604200</t>
        </is>
      </c>
      <c r="C201" s="3" t="inlineStr">
        <is>
          <t>加藤 彩</t>
        </is>
      </c>
      <c r="D201" s="3" t="inlineStr">
        <is>
          <t>渡辺 涼</t>
        </is>
      </c>
      <c r="E201" s="3" t="inlineStr">
        <is>
          <t>渡辺企画 涼</t>
        </is>
      </c>
      <c r="F201" s="3" t="inlineStr">
        <is>
          <t>customer200@example.jp</t>
        </is>
      </c>
      <c r="G201" s="9" t="n">
        <v>46128</v>
      </c>
      <c r="H201" s="9" t="n">
        <v>46135</v>
      </c>
      <c r="I201" s="10" t="n">
        <v>46127.38888888889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8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18" customWidth="1" min="10" max="10"/>
    <col width="10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slip_id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price</t>
        </is>
      </c>
      <c r="F1" s="1" t="inlineStr">
        <is>
          <t>tax_price</t>
        </is>
      </c>
      <c r="G1" s="1" t="inlineStr">
        <is>
          <t>credit</t>
        </is>
      </c>
      <c r="H1" s="1" t="inlineStr">
        <is>
          <t>media_name</t>
        </is>
      </c>
      <c r="I1" s="1" t="inlineStr">
        <is>
          <t>release_date</t>
        </is>
      </c>
      <c r="J1" s="1" t="inlineStr">
        <is>
          <t>note</t>
        </is>
      </c>
      <c r="K1" s="1" t="inlineStr">
        <is>
          <t>returned</t>
        </is>
      </c>
      <c r="L1" s="1" t="inlineStr">
        <is>
          <t>returned_date</t>
        </is>
      </c>
    </row>
    <row r="2">
      <c r="A2" s="8" t="n">
        <v>1</v>
      </c>
      <c r="B2" s="8" t="n">
        <v>1</v>
      </c>
      <c r="C2" s="3" t="inlineStr">
        <is>
          <t>PRD-0001-1</t>
        </is>
      </c>
      <c r="D2" s="3" t="inlineStr">
        <is>
          <t>販促POP 1</t>
        </is>
      </c>
      <c r="E2" s="11" t="n">
        <v>3317</v>
      </c>
      <c r="F2" s="11" t="n">
        <v>3649</v>
      </c>
      <c r="G2" s="3" t="inlineStr">
        <is>
          <t>制作部</t>
        </is>
      </c>
      <c r="H2" s="3" t="inlineStr">
        <is>
          <t>月刊メディア</t>
        </is>
      </c>
      <c r="I2" s="9" t="n">
        <v>46029</v>
      </c>
      <c r="J2" s="3" t="inlineStr">
        <is>
          <t>先方確認済み</t>
        </is>
      </c>
      <c r="K2" s="8" t="b">
        <v>1</v>
      </c>
      <c r="L2" s="9" t="n">
        <v>46038</v>
      </c>
    </row>
    <row r="3">
      <c r="A3" s="8" t="n">
        <v>2</v>
      </c>
      <c r="B3" s="8" t="n">
        <v>1</v>
      </c>
      <c r="C3" s="3" t="inlineStr">
        <is>
          <t>PRD-0001-2</t>
        </is>
      </c>
      <c r="D3" s="3" t="inlineStr">
        <is>
          <t>取材資料 2</t>
        </is>
      </c>
      <c r="E3" s="11" t="n">
        <v>3838</v>
      </c>
      <c r="F3" s="11" t="n">
        <v>4222</v>
      </c>
      <c r="G3" s="3" t="inlineStr">
        <is>
          <t>宣伝課</t>
        </is>
      </c>
      <c r="H3" s="3" t="inlineStr">
        <is>
          <t>ニュースWave</t>
        </is>
      </c>
      <c r="I3" s="9" t="n">
        <v>46028</v>
      </c>
      <c r="J3" s="3" t="inlineStr">
        <is>
          <t>再送不可</t>
        </is>
      </c>
      <c r="K3" s="8" t="b">
        <v>1</v>
      </c>
      <c r="L3" s="9" t="n">
        <v>46037</v>
      </c>
    </row>
    <row r="4">
      <c r="A4" s="8" t="n">
        <v>3</v>
      </c>
      <c r="B4" s="8" t="n">
        <v>2</v>
      </c>
      <c r="C4" s="3" t="inlineStr">
        <is>
          <t>PRD-0002-1</t>
        </is>
      </c>
      <c r="D4" s="3" t="inlineStr">
        <is>
          <t>取材資料 1</t>
        </is>
      </c>
      <c r="E4" s="11" t="n">
        <v>3634</v>
      </c>
      <c r="F4" s="11" t="n">
        <v>3997</v>
      </c>
      <c r="G4" s="3" t="inlineStr">
        <is>
          <t>宣伝課</t>
        </is>
      </c>
      <c r="H4" s="3" t="inlineStr">
        <is>
          <t>ニュースWave</t>
        </is>
      </c>
      <c r="I4" s="9" t="n">
        <v>46030</v>
      </c>
      <c r="J4" s="3" t="inlineStr">
        <is>
          <t>再送不可</t>
        </is>
      </c>
      <c r="K4" s="8" t="b">
        <v>1</v>
      </c>
      <c r="L4" s="9" t="n">
        <v>46041</v>
      </c>
    </row>
    <row r="5">
      <c r="A5" s="8" t="n">
        <v>4</v>
      </c>
      <c r="B5" s="8" t="n">
        <v>2</v>
      </c>
      <c r="C5" s="3" t="inlineStr">
        <is>
          <t>PRD-0002-2</t>
        </is>
      </c>
      <c r="D5" s="3" t="inlineStr">
        <is>
          <t>サンプル冊子 2</t>
        </is>
      </c>
      <c r="E5" s="11" t="n">
        <v>4155</v>
      </c>
      <c r="F5" s="11" t="n">
        <v>4570</v>
      </c>
      <c r="G5" s="3" t="inlineStr">
        <is>
          <t>営業部</t>
        </is>
      </c>
      <c r="H5" s="3" t="inlineStr">
        <is>
          <t>Biz Journal</t>
        </is>
      </c>
      <c r="I5" s="9" t="n">
        <v>46029</v>
      </c>
      <c r="J5" s="3" t="inlineStr">
        <is>
          <t>折れ注意</t>
        </is>
      </c>
      <c r="K5" s="8" t="b">
        <v>1</v>
      </c>
      <c r="L5" s="9" t="n">
        <v>46040</v>
      </c>
    </row>
    <row r="6">
      <c r="A6" s="8" t="n">
        <v>5</v>
      </c>
      <c r="B6" s="8" t="n">
        <v>2</v>
      </c>
      <c r="C6" s="3" t="inlineStr">
        <is>
          <t>PRD-0002-3</t>
        </is>
      </c>
      <c r="D6" s="3" t="inlineStr">
        <is>
          <t>広報写真 3</t>
        </is>
      </c>
      <c r="E6" s="11" t="n">
        <v>4676</v>
      </c>
      <c r="F6" s="11" t="n">
        <v>5144</v>
      </c>
      <c r="G6" s="3" t="inlineStr">
        <is>
          <t>広告代理店A</t>
        </is>
      </c>
      <c r="H6" s="3" t="inlineStr">
        <is>
          <t>Tech Line</t>
        </is>
      </c>
      <c r="I6" s="9" t="n">
        <v>46028</v>
      </c>
      <c r="J6" s="3" t="inlineStr">
        <is>
          <t>機密資料を含む</t>
        </is>
      </c>
      <c r="K6" s="8" t="b">
        <v>0</v>
      </c>
      <c r="L6" s="9" t="n"/>
    </row>
    <row r="7">
      <c r="A7" s="8" t="n">
        <v>6</v>
      </c>
      <c r="B7" s="8" t="n">
        <v>3</v>
      </c>
      <c r="C7" s="3" t="inlineStr">
        <is>
          <t>PRD-0003-1</t>
        </is>
      </c>
      <c r="D7" s="3" t="inlineStr">
        <is>
          <t>サンプル冊子 1</t>
        </is>
      </c>
      <c r="E7" s="11" t="n">
        <v>3951</v>
      </c>
      <c r="F7" s="11" t="n">
        <v>4346</v>
      </c>
      <c r="G7" s="3" t="inlineStr">
        <is>
          <t>営業部</t>
        </is>
      </c>
      <c r="H7" s="3" t="inlineStr">
        <is>
          <t>Biz Journal</t>
        </is>
      </c>
      <c r="I7" s="9" t="n">
        <v>46031</v>
      </c>
      <c r="J7" s="3" t="inlineStr">
        <is>
          <t>折れ注意</t>
        </is>
      </c>
      <c r="K7" s="8" t="b">
        <v>1</v>
      </c>
      <c r="L7" s="9" t="n">
        <v>46044</v>
      </c>
    </row>
    <row r="8">
      <c r="A8" s="8" t="n">
        <v>7</v>
      </c>
      <c r="B8" s="8" t="n">
        <v>4</v>
      </c>
      <c r="C8" s="3" t="inlineStr">
        <is>
          <t>PRD-0004-1</t>
        </is>
      </c>
      <c r="D8" s="3" t="inlineStr">
        <is>
          <t>広報写真 1</t>
        </is>
      </c>
      <c r="E8" s="11" t="n">
        <v>4268</v>
      </c>
      <c r="F8" s="11" t="n">
        <v>4695</v>
      </c>
      <c r="G8" s="3" t="inlineStr">
        <is>
          <t>広告代理店A</t>
        </is>
      </c>
      <c r="H8" s="3" t="inlineStr">
        <is>
          <t>Tech Line</t>
        </is>
      </c>
      <c r="I8" s="9" t="n">
        <v>46032</v>
      </c>
      <c r="J8" s="3" t="inlineStr">
        <is>
          <t>機密資料を含む</t>
        </is>
      </c>
      <c r="K8" s="8" t="b">
        <v>0</v>
      </c>
      <c r="L8" s="9" t="n"/>
    </row>
    <row r="9">
      <c r="A9" s="8" t="n">
        <v>8</v>
      </c>
      <c r="B9" s="8" t="n">
        <v>4</v>
      </c>
      <c r="C9" s="3" t="inlineStr">
        <is>
          <t>PRD-0004-2</t>
        </is>
      </c>
      <c r="D9" s="3" t="inlineStr">
        <is>
          <t>掲載誌 2</t>
        </is>
      </c>
      <c r="E9" s="11" t="n">
        <v>4789</v>
      </c>
      <c r="F9" s="11" t="n">
        <v>5268</v>
      </c>
      <c r="G9" s="3" t="inlineStr">
        <is>
          <t>広告代理店B</t>
        </is>
      </c>
      <c r="H9" s="3" t="inlineStr">
        <is>
          <t>生活スタイル</t>
        </is>
      </c>
      <c r="I9" s="9" t="n">
        <v>46031</v>
      </c>
      <c r="J9" s="3" t="inlineStr">
        <is>
          <t>予備あり</t>
        </is>
      </c>
      <c r="K9" s="8" t="b">
        <v>1</v>
      </c>
      <c r="L9" s="9" t="n">
        <v>46046</v>
      </c>
    </row>
    <row r="10">
      <c r="A10" s="8" t="n">
        <v>9</v>
      </c>
      <c r="B10" s="8" t="n">
        <v>5</v>
      </c>
      <c r="C10" s="3" t="inlineStr">
        <is>
          <t>PRD-0005-1</t>
        </is>
      </c>
      <c r="D10" s="3" t="inlineStr">
        <is>
          <t>掲載誌 1</t>
        </is>
      </c>
      <c r="E10" s="11" t="n">
        <v>4585</v>
      </c>
      <c r="F10" s="11" t="n">
        <v>5044</v>
      </c>
      <c r="G10" s="3" t="inlineStr">
        <is>
          <t>広告代理店B</t>
        </is>
      </c>
      <c r="H10" s="3" t="inlineStr">
        <is>
          <t>生活スタイル</t>
        </is>
      </c>
      <c r="I10" s="9" t="n">
        <v>46033</v>
      </c>
      <c r="J10" s="3" t="inlineStr">
        <is>
          <t>予備あり</t>
        </is>
      </c>
      <c r="K10" s="8" t="b">
        <v>1</v>
      </c>
      <c r="L10" s="9" t="n">
        <v>46050</v>
      </c>
    </row>
    <row r="11">
      <c r="A11" s="8" t="n">
        <v>10</v>
      </c>
      <c r="B11" s="8" t="n">
        <v>5</v>
      </c>
      <c r="C11" s="3" t="inlineStr">
        <is>
          <t>PRD-0005-2</t>
        </is>
      </c>
      <c r="D11" s="3" t="inlineStr">
        <is>
          <t>校正紙 2</t>
        </is>
      </c>
      <c r="E11" s="11" t="n">
        <v>5106</v>
      </c>
      <c r="F11" s="11" t="n">
        <v>5617</v>
      </c>
      <c r="G11" s="3" t="inlineStr">
        <is>
          <t>編集部</t>
        </is>
      </c>
      <c r="H11" s="3" t="inlineStr">
        <is>
          <t>カルチャー通信</t>
        </is>
      </c>
      <c r="I11" s="9" t="n">
        <v>46032</v>
      </c>
      <c r="J11" s="3" t="inlineStr">
        <is>
          <t>急ぎ対応</t>
        </is>
      </c>
      <c r="K11" s="8" t="b">
        <v>1</v>
      </c>
      <c r="L11" s="9" t="n">
        <v>46049</v>
      </c>
    </row>
    <row r="12">
      <c r="A12" s="8" t="n">
        <v>11</v>
      </c>
      <c r="B12" s="8" t="n">
        <v>5</v>
      </c>
      <c r="C12" s="3" t="inlineStr">
        <is>
          <t>PRD-0005-3</t>
        </is>
      </c>
      <c r="D12" s="3" t="inlineStr">
        <is>
          <t>ノベルティ 3</t>
        </is>
      </c>
      <c r="E12" s="11" t="n">
        <v>5627</v>
      </c>
      <c r="F12" s="11" t="n">
        <v>6190</v>
      </c>
      <c r="G12" s="3" t="inlineStr">
        <is>
          <t>制作部</t>
        </is>
      </c>
      <c r="H12" s="3" t="inlineStr">
        <is>
          <t>週刊PRESS</t>
        </is>
      </c>
      <c r="I12" s="9" t="n">
        <v>46031</v>
      </c>
      <c r="J12" s="3" t="inlineStr">
        <is>
          <t>要返却</t>
        </is>
      </c>
      <c r="K12" s="8" t="b">
        <v>1</v>
      </c>
      <c r="L12" s="9" t="n">
        <v>46048</v>
      </c>
    </row>
    <row r="13">
      <c r="A13" s="8" t="n">
        <v>12</v>
      </c>
      <c r="B13" s="8" t="n">
        <v>6</v>
      </c>
      <c r="C13" s="3" t="inlineStr">
        <is>
          <t>PRD-0006-1</t>
        </is>
      </c>
      <c r="D13" s="3" t="inlineStr">
        <is>
          <t>校正紙 1</t>
        </is>
      </c>
      <c r="E13" s="11" t="n">
        <v>4902</v>
      </c>
      <c r="F13" s="11" t="n">
        <v>5392</v>
      </c>
      <c r="G13" s="3" t="inlineStr">
        <is>
          <t>編集部</t>
        </is>
      </c>
      <c r="H13" s="3" t="inlineStr">
        <is>
          <t>カルチャー通信</t>
        </is>
      </c>
      <c r="I13" s="9" t="n">
        <v>46034</v>
      </c>
      <c r="J13" s="3" t="inlineStr">
        <is>
          <t>急ぎ対応</t>
        </is>
      </c>
      <c r="K13" s="8" t="b">
        <v>1</v>
      </c>
      <c r="L13" s="9" t="n">
        <v>46053</v>
      </c>
    </row>
    <row r="14">
      <c r="A14" s="8" t="n">
        <v>13</v>
      </c>
      <c r="B14" s="8" t="n">
        <v>7</v>
      </c>
      <c r="C14" s="3" t="inlineStr">
        <is>
          <t>PRD-0007-1</t>
        </is>
      </c>
      <c r="D14" s="3" t="inlineStr">
        <is>
          <t>ノベルティ 1</t>
        </is>
      </c>
      <c r="E14" s="11" t="n">
        <v>5219</v>
      </c>
      <c r="F14" s="11" t="n">
        <v>5741</v>
      </c>
      <c r="G14" s="3" t="inlineStr">
        <is>
          <t>制作部</t>
        </is>
      </c>
      <c r="H14" s="3" t="inlineStr">
        <is>
          <t>週刊PRESS</t>
        </is>
      </c>
      <c r="I14" s="9" t="n">
        <v>46035</v>
      </c>
      <c r="J14" s="3" t="inlineStr">
        <is>
          <t>要返却</t>
        </is>
      </c>
      <c r="K14" s="8" t="b">
        <v>1</v>
      </c>
      <c r="L14" s="9" t="n">
        <v>46056</v>
      </c>
    </row>
    <row r="15">
      <c r="A15" s="8" t="n">
        <v>14</v>
      </c>
      <c r="B15" s="8" t="n">
        <v>7</v>
      </c>
      <c r="C15" s="3" t="inlineStr">
        <is>
          <t>PRD-0007-2</t>
        </is>
      </c>
      <c r="D15" s="3" t="inlineStr">
        <is>
          <t>プレスキット 2</t>
        </is>
      </c>
      <c r="E15" s="11" t="n">
        <v>5740</v>
      </c>
      <c r="F15" s="11" t="n">
        <v>6314</v>
      </c>
      <c r="G15" s="3" t="inlineStr">
        <is>
          <t>宣伝課</t>
        </is>
      </c>
      <c r="H15" s="3" t="inlineStr">
        <is>
          <t>月刊メディア</t>
        </is>
      </c>
      <c r="I15" s="9" t="n">
        <v>46034</v>
      </c>
      <c r="J15" s="3" t="inlineStr">
        <is>
          <t>先方確認済み</t>
        </is>
      </c>
      <c r="K15" s="8" t="b">
        <v>0</v>
      </c>
      <c r="L15" s="9" t="n"/>
    </row>
    <row r="16">
      <c r="A16" s="8" t="n">
        <v>15</v>
      </c>
      <c r="B16" s="8" t="n">
        <v>8</v>
      </c>
      <c r="C16" s="3" t="inlineStr">
        <is>
          <t>PRD-0008-1</t>
        </is>
      </c>
      <c r="D16" s="3" t="inlineStr">
        <is>
          <t>プレスキット 1</t>
        </is>
      </c>
      <c r="E16" s="11" t="n">
        <v>5536</v>
      </c>
      <c r="F16" s="11" t="n">
        <v>6090</v>
      </c>
      <c r="G16" s="3" t="inlineStr">
        <is>
          <t>宣伝課</t>
        </is>
      </c>
      <c r="H16" s="3" t="inlineStr">
        <is>
          <t>月刊メディア</t>
        </is>
      </c>
      <c r="I16" s="9" t="n">
        <v>46036</v>
      </c>
      <c r="J16" s="3" t="inlineStr">
        <is>
          <t>先方確認済み</t>
        </is>
      </c>
      <c r="K16" s="8" t="b">
        <v>0</v>
      </c>
      <c r="L16" s="9" t="n"/>
    </row>
    <row r="17">
      <c r="A17" s="8" t="n">
        <v>16</v>
      </c>
      <c r="B17" s="8" t="n">
        <v>8</v>
      </c>
      <c r="C17" s="3" t="inlineStr">
        <is>
          <t>PRD-0008-2</t>
        </is>
      </c>
      <c r="D17" s="3" t="inlineStr">
        <is>
          <t>販促POP 2</t>
        </is>
      </c>
      <c r="E17" s="11" t="n">
        <v>6057</v>
      </c>
      <c r="F17" s="11" t="n">
        <v>6663</v>
      </c>
      <c r="G17" s="3" t="inlineStr">
        <is>
          <t>営業部</t>
        </is>
      </c>
      <c r="H17" s="3" t="inlineStr">
        <is>
          <t>ニュースWave</t>
        </is>
      </c>
      <c r="I17" s="9" t="n">
        <v>46035</v>
      </c>
      <c r="J17" s="3" t="inlineStr">
        <is>
          <t>再送不可</t>
        </is>
      </c>
      <c r="K17" s="8" t="b">
        <v>1</v>
      </c>
      <c r="L17" s="9" t="n">
        <v>46050</v>
      </c>
    </row>
    <row r="18">
      <c r="A18" s="8" t="n">
        <v>17</v>
      </c>
      <c r="B18" s="8" t="n">
        <v>8</v>
      </c>
      <c r="C18" s="3" t="inlineStr">
        <is>
          <t>PRD-0008-3</t>
        </is>
      </c>
      <c r="D18" s="3" t="inlineStr">
        <is>
          <t>取材資料 3</t>
        </is>
      </c>
      <c r="E18" s="11" t="n">
        <v>6578</v>
      </c>
      <c r="F18" s="11" t="n">
        <v>7236</v>
      </c>
      <c r="G18" s="3" t="inlineStr">
        <is>
          <t>広告代理店A</t>
        </is>
      </c>
      <c r="H18" s="3" t="inlineStr">
        <is>
          <t>Biz Journal</t>
        </is>
      </c>
      <c r="I18" s="9" t="n">
        <v>46034</v>
      </c>
      <c r="J18" s="3" t="inlineStr">
        <is>
          <t>折れ注意</t>
        </is>
      </c>
      <c r="K18" s="8" t="b">
        <v>1</v>
      </c>
      <c r="L18" s="9" t="n">
        <v>46049</v>
      </c>
    </row>
    <row r="19">
      <c r="A19" s="8" t="n">
        <v>18</v>
      </c>
      <c r="B19" s="8" t="n">
        <v>9</v>
      </c>
      <c r="C19" s="3" t="inlineStr">
        <is>
          <t>PRD-0009-1</t>
        </is>
      </c>
      <c r="D19" s="3" t="inlineStr">
        <is>
          <t>販促POP 1</t>
        </is>
      </c>
      <c r="E19" s="11" t="n">
        <v>5853</v>
      </c>
      <c r="F19" s="11" t="n">
        <v>6438</v>
      </c>
      <c r="G19" s="3" t="inlineStr">
        <is>
          <t>営業部</t>
        </is>
      </c>
      <c r="H19" s="3" t="inlineStr">
        <is>
          <t>ニュースWave</t>
        </is>
      </c>
      <c r="I19" s="9" t="n">
        <v>46037</v>
      </c>
      <c r="J19" s="3" t="inlineStr">
        <is>
          <t>再送不可</t>
        </is>
      </c>
      <c r="K19" s="8" t="b">
        <v>1</v>
      </c>
      <c r="L19" s="9" t="n">
        <v>46054</v>
      </c>
    </row>
    <row r="20">
      <c r="A20" s="8" t="n">
        <v>19</v>
      </c>
      <c r="B20" s="8" t="n">
        <v>10</v>
      </c>
      <c r="C20" s="3" t="inlineStr">
        <is>
          <t>PRD-0010-1</t>
        </is>
      </c>
      <c r="D20" s="3" t="inlineStr">
        <is>
          <t>取材資料 1</t>
        </is>
      </c>
      <c r="E20" s="11" t="n">
        <v>6170</v>
      </c>
      <c r="F20" s="11" t="n">
        <v>6787</v>
      </c>
      <c r="G20" s="3" t="inlineStr">
        <is>
          <t>広告代理店A</t>
        </is>
      </c>
      <c r="H20" s="3" t="inlineStr">
        <is>
          <t>Biz Journal</t>
        </is>
      </c>
      <c r="I20" s="9" t="n">
        <v>46038</v>
      </c>
      <c r="J20" s="3" t="inlineStr">
        <is>
          <t>折れ注意</t>
        </is>
      </c>
      <c r="K20" s="8" t="b">
        <v>1</v>
      </c>
      <c r="L20" s="9" t="n">
        <v>46057</v>
      </c>
    </row>
    <row r="21">
      <c r="A21" s="8" t="n">
        <v>20</v>
      </c>
      <c r="B21" s="8" t="n">
        <v>10</v>
      </c>
      <c r="C21" s="3" t="inlineStr">
        <is>
          <t>PRD-0010-2</t>
        </is>
      </c>
      <c r="D21" s="3" t="inlineStr">
        <is>
          <t>サンプル冊子 2</t>
        </is>
      </c>
      <c r="E21" s="11" t="n">
        <v>6691</v>
      </c>
      <c r="F21" s="11" t="n">
        <v>7360</v>
      </c>
      <c r="G21" s="3" t="inlineStr">
        <is>
          <t>広告代理店B</t>
        </is>
      </c>
      <c r="H21" s="3" t="inlineStr">
        <is>
          <t>Tech Line</t>
        </is>
      </c>
      <c r="I21" s="9" t="n">
        <v>46037</v>
      </c>
      <c r="J21" s="3" t="inlineStr">
        <is>
          <t>機密資料を含む</t>
        </is>
      </c>
      <c r="K21" s="8" t="b">
        <v>1</v>
      </c>
      <c r="L21" s="9" t="n">
        <v>46056</v>
      </c>
    </row>
    <row r="22">
      <c r="A22" s="8" t="n">
        <v>21</v>
      </c>
      <c r="B22" s="8" t="n">
        <v>11</v>
      </c>
      <c r="C22" s="3" t="inlineStr">
        <is>
          <t>PRD-0011-1</t>
        </is>
      </c>
      <c r="D22" s="3" t="inlineStr">
        <is>
          <t>サンプル冊子 1</t>
        </is>
      </c>
      <c r="E22" s="11" t="n">
        <v>6487</v>
      </c>
      <c r="F22" s="11" t="n">
        <v>7136</v>
      </c>
      <c r="G22" s="3" t="inlineStr">
        <is>
          <t>広告代理店B</t>
        </is>
      </c>
      <c r="H22" s="3" t="inlineStr">
        <is>
          <t>Tech Line</t>
        </is>
      </c>
      <c r="I22" s="9" t="n">
        <v>46039</v>
      </c>
      <c r="J22" s="3" t="inlineStr">
        <is>
          <t>機密資料を含む</t>
        </is>
      </c>
      <c r="K22" s="8" t="b">
        <v>1</v>
      </c>
      <c r="L22" s="9" t="n">
        <v>46060</v>
      </c>
    </row>
    <row r="23">
      <c r="A23" s="8" t="n">
        <v>22</v>
      </c>
      <c r="B23" s="8" t="n">
        <v>11</v>
      </c>
      <c r="C23" s="3" t="inlineStr">
        <is>
          <t>PRD-0011-2</t>
        </is>
      </c>
      <c r="D23" s="3" t="inlineStr">
        <is>
          <t>広報写真 2</t>
        </is>
      </c>
      <c r="E23" s="11" t="n">
        <v>7008</v>
      </c>
      <c r="F23" s="11" t="n">
        <v>7709</v>
      </c>
      <c r="G23" s="3" t="inlineStr">
        <is>
          <t>編集部</t>
        </is>
      </c>
      <c r="H23" s="3" t="inlineStr">
        <is>
          <t>生活スタイル</t>
        </is>
      </c>
      <c r="I23" s="9" t="n">
        <v>46038</v>
      </c>
      <c r="J23" s="3" t="inlineStr">
        <is>
          <t>予備あり</t>
        </is>
      </c>
      <c r="K23" s="8" t="b">
        <v>0</v>
      </c>
      <c r="L23" s="9" t="n"/>
    </row>
    <row r="24">
      <c r="A24" s="8" t="n">
        <v>23</v>
      </c>
      <c r="B24" s="8" t="n">
        <v>11</v>
      </c>
      <c r="C24" s="3" t="inlineStr">
        <is>
          <t>PRD-0011-3</t>
        </is>
      </c>
      <c r="D24" s="3" t="inlineStr">
        <is>
          <t>掲載誌 3</t>
        </is>
      </c>
      <c r="E24" s="11" t="n">
        <v>7529</v>
      </c>
      <c r="F24" s="11" t="n">
        <v>8282</v>
      </c>
      <c r="G24" s="3" t="inlineStr">
        <is>
          <t>制作部</t>
        </is>
      </c>
      <c r="H24" s="3" t="inlineStr">
        <is>
          <t>カルチャー通信</t>
        </is>
      </c>
      <c r="I24" s="9" t="n">
        <v>46037</v>
      </c>
      <c r="J24" s="3" t="inlineStr">
        <is>
          <t>急ぎ対応</t>
        </is>
      </c>
      <c r="K24" s="8" t="b">
        <v>1</v>
      </c>
      <c r="L24" s="9" t="n">
        <v>46058</v>
      </c>
    </row>
    <row r="25">
      <c r="A25" s="8" t="n">
        <v>24</v>
      </c>
      <c r="B25" s="8" t="n">
        <v>12</v>
      </c>
      <c r="C25" s="3" t="inlineStr">
        <is>
          <t>PRD-0012-1</t>
        </is>
      </c>
      <c r="D25" s="3" t="inlineStr">
        <is>
          <t>広報写真 1</t>
        </is>
      </c>
      <c r="E25" s="11" t="n">
        <v>6804</v>
      </c>
      <c r="F25" s="11" t="n">
        <v>7484</v>
      </c>
      <c r="G25" s="3" t="inlineStr">
        <is>
          <t>編集部</t>
        </is>
      </c>
      <c r="H25" s="3" t="inlineStr">
        <is>
          <t>生活スタイル</t>
        </is>
      </c>
      <c r="I25" s="9" t="n">
        <v>46040</v>
      </c>
      <c r="J25" s="3" t="inlineStr">
        <is>
          <t>予備あり</t>
        </is>
      </c>
      <c r="K25" s="8" t="b">
        <v>0</v>
      </c>
      <c r="L25" s="9" t="n"/>
    </row>
    <row r="26">
      <c r="A26" s="8" t="n">
        <v>25</v>
      </c>
      <c r="B26" s="8" t="n">
        <v>13</v>
      </c>
      <c r="C26" s="3" t="inlineStr">
        <is>
          <t>PRD-0013-1</t>
        </is>
      </c>
      <c r="D26" s="3" t="inlineStr">
        <is>
          <t>掲載誌 1</t>
        </is>
      </c>
      <c r="E26" s="11" t="n">
        <v>7121</v>
      </c>
      <c r="F26" s="11" t="n">
        <v>7833</v>
      </c>
      <c r="G26" s="3" t="inlineStr">
        <is>
          <t>制作部</t>
        </is>
      </c>
      <c r="H26" s="3" t="inlineStr">
        <is>
          <t>カルチャー通信</t>
        </is>
      </c>
      <c r="I26" s="9" t="n">
        <v>46041</v>
      </c>
      <c r="J26" s="3" t="inlineStr">
        <is>
          <t>急ぎ対応</t>
        </is>
      </c>
      <c r="K26" s="8" t="b">
        <v>1</v>
      </c>
      <c r="L26" s="9" t="n">
        <v>46066</v>
      </c>
    </row>
    <row r="27">
      <c r="A27" s="8" t="n">
        <v>26</v>
      </c>
      <c r="B27" s="8" t="n">
        <v>13</v>
      </c>
      <c r="C27" s="3" t="inlineStr">
        <is>
          <t>PRD-0013-2</t>
        </is>
      </c>
      <c r="D27" s="3" t="inlineStr">
        <is>
          <t>校正紙 2</t>
        </is>
      </c>
      <c r="E27" s="11" t="n">
        <v>7642</v>
      </c>
      <c r="F27" s="11" t="n">
        <v>8406</v>
      </c>
      <c r="G27" s="3" t="inlineStr">
        <is>
          <t>宣伝課</t>
        </is>
      </c>
      <c r="H27" s="3" t="inlineStr">
        <is>
          <t>週刊PRESS</t>
        </is>
      </c>
      <c r="I27" s="9" t="n">
        <v>46040</v>
      </c>
      <c r="J27" s="3" t="inlineStr">
        <is>
          <t>要返却</t>
        </is>
      </c>
      <c r="K27" s="8" t="b">
        <v>1</v>
      </c>
      <c r="L27" s="9" t="n">
        <v>46065</v>
      </c>
    </row>
    <row r="28">
      <c r="A28" s="8" t="n">
        <v>27</v>
      </c>
      <c r="B28" s="8" t="n">
        <v>14</v>
      </c>
      <c r="C28" s="3" t="inlineStr">
        <is>
          <t>PRD-0014-1</t>
        </is>
      </c>
      <c r="D28" s="3" t="inlineStr">
        <is>
          <t>校正紙 1</t>
        </is>
      </c>
      <c r="E28" s="11" t="n">
        <v>7438</v>
      </c>
      <c r="F28" s="11" t="n">
        <v>8182</v>
      </c>
      <c r="G28" s="3" t="inlineStr">
        <is>
          <t>宣伝課</t>
        </is>
      </c>
      <c r="H28" s="3" t="inlineStr">
        <is>
          <t>週刊PRESS</t>
        </is>
      </c>
      <c r="I28" s="9" t="n">
        <v>46042</v>
      </c>
      <c r="J28" s="3" t="inlineStr">
        <is>
          <t>要返却</t>
        </is>
      </c>
      <c r="K28" s="8" t="b">
        <v>1</v>
      </c>
      <c r="L28" s="9" t="n">
        <v>46069</v>
      </c>
    </row>
    <row r="29">
      <c r="A29" s="8" t="n">
        <v>28</v>
      </c>
      <c r="B29" s="8" t="n">
        <v>14</v>
      </c>
      <c r="C29" s="3" t="inlineStr">
        <is>
          <t>PRD-0014-2</t>
        </is>
      </c>
      <c r="D29" s="3" t="inlineStr">
        <is>
          <t>ノベルティ 2</t>
        </is>
      </c>
      <c r="E29" s="11" t="n">
        <v>7959</v>
      </c>
      <c r="F29" s="11" t="n">
        <v>8755</v>
      </c>
      <c r="G29" s="3" t="inlineStr">
        <is>
          <t>営業部</t>
        </is>
      </c>
      <c r="H29" s="3" t="inlineStr">
        <is>
          <t>月刊メディア</t>
        </is>
      </c>
      <c r="I29" s="9" t="n">
        <v>46041</v>
      </c>
      <c r="J29" s="3" t="inlineStr">
        <is>
          <t>先方確認済み</t>
        </is>
      </c>
      <c r="K29" s="8" t="b">
        <v>1</v>
      </c>
      <c r="L29" s="9" t="n">
        <v>46068</v>
      </c>
    </row>
    <row r="30">
      <c r="A30" s="8" t="n">
        <v>29</v>
      </c>
      <c r="B30" s="8" t="n">
        <v>14</v>
      </c>
      <c r="C30" s="3" t="inlineStr">
        <is>
          <t>PRD-0014-3</t>
        </is>
      </c>
      <c r="D30" s="3" t="inlineStr">
        <is>
          <t>プレスキット 3</t>
        </is>
      </c>
      <c r="E30" s="11" t="n">
        <v>8480</v>
      </c>
      <c r="F30" s="11" t="n">
        <v>9328</v>
      </c>
      <c r="G30" s="3" t="inlineStr">
        <is>
          <t>広告代理店A</t>
        </is>
      </c>
      <c r="H30" s="3" t="inlineStr">
        <is>
          <t>ニュースWave</t>
        </is>
      </c>
      <c r="I30" s="9" t="n">
        <v>46040</v>
      </c>
      <c r="J30" s="3" t="inlineStr">
        <is>
          <t>再送不可</t>
        </is>
      </c>
      <c r="K30" s="8" t="b">
        <v>0</v>
      </c>
      <c r="L30" s="9" t="n"/>
    </row>
    <row r="31">
      <c r="A31" s="8" t="n">
        <v>30</v>
      </c>
      <c r="B31" s="8" t="n">
        <v>15</v>
      </c>
      <c r="C31" s="3" t="inlineStr">
        <is>
          <t>PRD-0015-1</t>
        </is>
      </c>
      <c r="D31" s="3" t="inlineStr">
        <is>
          <t>ノベルティ 1</t>
        </is>
      </c>
      <c r="E31" s="11" t="n">
        <v>7755</v>
      </c>
      <c r="F31" s="11" t="n">
        <v>8530</v>
      </c>
      <c r="G31" s="3" t="inlineStr">
        <is>
          <t>営業部</t>
        </is>
      </c>
      <c r="H31" s="3" t="inlineStr">
        <is>
          <t>月刊メディア</t>
        </is>
      </c>
      <c r="I31" s="9" t="n">
        <v>46043</v>
      </c>
      <c r="J31" s="3" t="inlineStr">
        <is>
          <t>先方確認済み</t>
        </is>
      </c>
      <c r="K31" s="8" t="b">
        <v>1</v>
      </c>
      <c r="L31" s="9" t="n">
        <v>46072</v>
      </c>
    </row>
    <row r="32">
      <c r="A32" s="8" t="n">
        <v>31</v>
      </c>
      <c r="B32" s="8" t="n">
        <v>16</v>
      </c>
      <c r="C32" s="3" t="inlineStr">
        <is>
          <t>PRD-0016-1</t>
        </is>
      </c>
      <c r="D32" s="3" t="inlineStr">
        <is>
          <t>プレスキット 1</t>
        </is>
      </c>
      <c r="E32" s="11" t="n">
        <v>8072</v>
      </c>
      <c r="F32" s="11" t="n">
        <v>8879</v>
      </c>
      <c r="G32" s="3" t="inlineStr">
        <is>
          <t>広告代理店A</t>
        </is>
      </c>
      <c r="H32" s="3" t="inlineStr">
        <is>
          <t>ニュースWave</t>
        </is>
      </c>
      <c r="I32" s="9" t="n">
        <v>46044</v>
      </c>
      <c r="J32" s="3" t="inlineStr">
        <is>
          <t>再送不可</t>
        </is>
      </c>
      <c r="K32" s="8" t="b">
        <v>0</v>
      </c>
      <c r="L32" s="9" t="n"/>
    </row>
    <row r="33">
      <c r="A33" s="8" t="n">
        <v>32</v>
      </c>
      <c r="B33" s="8" t="n">
        <v>16</v>
      </c>
      <c r="C33" s="3" t="inlineStr">
        <is>
          <t>PRD-0016-2</t>
        </is>
      </c>
      <c r="D33" s="3" t="inlineStr">
        <is>
          <t>販促POP 2</t>
        </is>
      </c>
      <c r="E33" s="11" t="n">
        <v>8593</v>
      </c>
      <c r="F33" s="11" t="n">
        <v>9452</v>
      </c>
      <c r="G33" s="3" t="inlineStr">
        <is>
          <t>広告代理店B</t>
        </is>
      </c>
      <c r="H33" s="3" t="inlineStr">
        <is>
          <t>Biz Journal</t>
        </is>
      </c>
      <c r="I33" s="9" t="n">
        <v>46043</v>
      </c>
      <c r="J33" s="3" t="inlineStr">
        <is>
          <t>折れ注意</t>
        </is>
      </c>
      <c r="K33" s="8" t="b">
        <v>1</v>
      </c>
      <c r="L33" s="9" t="n">
        <v>46066</v>
      </c>
    </row>
    <row r="34">
      <c r="A34" s="8" t="n">
        <v>33</v>
      </c>
      <c r="B34" s="8" t="n">
        <v>17</v>
      </c>
      <c r="C34" s="3" t="inlineStr">
        <is>
          <t>PRD-0017-1</t>
        </is>
      </c>
      <c r="D34" s="3" t="inlineStr">
        <is>
          <t>販促POP 1</t>
        </is>
      </c>
      <c r="E34" s="11" t="n">
        <v>8389</v>
      </c>
      <c r="F34" s="11" t="n">
        <v>9228</v>
      </c>
      <c r="G34" s="3" t="inlineStr">
        <is>
          <t>広告代理店B</t>
        </is>
      </c>
      <c r="H34" s="3" t="inlineStr">
        <is>
          <t>Biz Journal</t>
        </is>
      </c>
      <c r="I34" s="9" t="n">
        <v>46045</v>
      </c>
      <c r="J34" s="3" t="inlineStr">
        <is>
          <t>折れ注意</t>
        </is>
      </c>
      <c r="K34" s="8" t="b">
        <v>1</v>
      </c>
      <c r="L34" s="9" t="n">
        <v>46070</v>
      </c>
    </row>
    <row r="35">
      <c r="A35" s="8" t="n">
        <v>34</v>
      </c>
      <c r="B35" s="8" t="n">
        <v>17</v>
      </c>
      <c r="C35" s="3" t="inlineStr">
        <is>
          <t>PRD-0017-2</t>
        </is>
      </c>
      <c r="D35" s="3" t="inlineStr">
        <is>
          <t>取材資料 2</t>
        </is>
      </c>
      <c r="E35" s="11" t="n">
        <v>8910</v>
      </c>
      <c r="F35" s="11" t="n">
        <v>9801</v>
      </c>
      <c r="G35" s="3" t="inlineStr">
        <is>
          <t>編集部</t>
        </is>
      </c>
      <c r="H35" s="3" t="inlineStr">
        <is>
          <t>Tech Line</t>
        </is>
      </c>
      <c r="I35" s="9" t="n">
        <v>46044</v>
      </c>
      <c r="J35" s="3" t="inlineStr">
        <is>
          <t>機密資料を含む</t>
        </is>
      </c>
      <c r="K35" s="8" t="b">
        <v>1</v>
      </c>
      <c r="L35" s="9" t="n">
        <v>46069</v>
      </c>
    </row>
    <row r="36">
      <c r="A36" s="8" t="n">
        <v>35</v>
      </c>
      <c r="B36" s="8" t="n">
        <v>17</v>
      </c>
      <c r="C36" s="3" t="inlineStr">
        <is>
          <t>PRD-0017-3</t>
        </is>
      </c>
      <c r="D36" s="3" t="inlineStr">
        <is>
          <t>サンプル冊子 3</t>
        </is>
      </c>
      <c r="E36" s="11" t="n">
        <v>9431</v>
      </c>
      <c r="F36" s="11" t="n">
        <v>10374</v>
      </c>
      <c r="G36" s="3" t="inlineStr">
        <is>
          <t>制作部</t>
        </is>
      </c>
      <c r="H36" s="3" t="inlineStr">
        <is>
          <t>生活スタイル</t>
        </is>
      </c>
      <c r="I36" s="9" t="n">
        <v>46043</v>
      </c>
      <c r="J36" s="3" t="inlineStr">
        <is>
          <t>予備あり</t>
        </is>
      </c>
      <c r="K36" s="8" t="b">
        <v>1</v>
      </c>
      <c r="L36" s="9" t="n">
        <v>46068</v>
      </c>
    </row>
    <row r="37">
      <c r="A37" s="8" t="n">
        <v>36</v>
      </c>
      <c r="B37" s="8" t="n">
        <v>18</v>
      </c>
      <c r="C37" s="3" t="inlineStr">
        <is>
          <t>PRD-0018-1</t>
        </is>
      </c>
      <c r="D37" s="3" t="inlineStr">
        <is>
          <t>取材資料 1</t>
        </is>
      </c>
      <c r="E37" s="11" t="n">
        <v>8706</v>
      </c>
      <c r="F37" s="11" t="n">
        <v>9577</v>
      </c>
      <c r="G37" s="3" t="inlineStr">
        <is>
          <t>編集部</t>
        </is>
      </c>
      <c r="H37" s="3" t="inlineStr">
        <is>
          <t>Tech Line</t>
        </is>
      </c>
      <c r="I37" s="9" t="n">
        <v>46046</v>
      </c>
      <c r="J37" s="3" t="inlineStr">
        <is>
          <t>機密資料を含む</t>
        </is>
      </c>
      <c r="K37" s="8" t="b">
        <v>1</v>
      </c>
      <c r="L37" s="9" t="n">
        <v>46073</v>
      </c>
    </row>
    <row r="38">
      <c r="A38" s="8" t="n">
        <v>37</v>
      </c>
      <c r="B38" s="8" t="n">
        <v>19</v>
      </c>
      <c r="C38" s="3" t="inlineStr">
        <is>
          <t>PRD-0019-1</t>
        </is>
      </c>
      <c r="D38" s="3" t="inlineStr">
        <is>
          <t>サンプル冊子 1</t>
        </is>
      </c>
      <c r="E38" s="11" t="n">
        <v>9023</v>
      </c>
      <c r="F38" s="11" t="n">
        <v>9925</v>
      </c>
      <c r="G38" s="3" t="inlineStr">
        <is>
          <t>制作部</t>
        </is>
      </c>
      <c r="H38" s="3" t="inlineStr">
        <is>
          <t>生活スタイル</t>
        </is>
      </c>
      <c r="I38" s="9" t="n">
        <v>46047</v>
      </c>
      <c r="J38" s="3" t="inlineStr">
        <is>
          <t>予備あり</t>
        </is>
      </c>
      <c r="K38" s="8" t="b">
        <v>1</v>
      </c>
      <c r="L38" s="9" t="n">
        <v>46076</v>
      </c>
    </row>
    <row r="39">
      <c r="A39" s="8" t="n">
        <v>38</v>
      </c>
      <c r="B39" s="8" t="n">
        <v>19</v>
      </c>
      <c r="C39" s="3" t="inlineStr">
        <is>
          <t>PRD-0019-2</t>
        </is>
      </c>
      <c r="D39" s="3" t="inlineStr">
        <is>
          <t>広報写真 2</t>
        </is>
      </c>
      <c r="E39" s="11" t="n">
        <v>9544</v>
      </c>
      <c r="F39" s="11" t="n">
        <v>10498</v>
      </c>
      <c r="G39" s="3" t="inlineStr">
        <is>
          <t>宣伝課</t>
        </is>
      </c>
      <c r="H39" s="3" t="inlineStr">
        <is>
          <t>カルチャー通信</t>
        </is>
      </c>
      <c r="I39" s="9" t="n">
        <v>46046</v>
      </c>
      <c r="J39" s="3" t="inlineStr">
        <is>
          <t>急ぎ対応</t>
        </is>
      </c>
      <c r="K39" s="8" t="b">
        <v>0</v>
      </c>
      <c r="L39" s="9" t="n"/>
    </row>
    <row r="40">
      <c r="A40" s="8" t="n">
        <v>39</v>
      </c>
      <c r="B40" s="8" t="n">
        <v>20</v>
      </c>
      <c r="C40" s="3" t="inlineStr">
        <is>
          <t>PRD-0020-1</t>
        </is>
      </c>
      <c r="D40" s="3" t="inlineStr">
        <is>
          <t>広報写真 1</t>
        </is>
      </c>
      <c r="E40" s="11" t="n">
        <v>9340</v>
      </c>
      <c r="F40" s="11" t="n">
        <v>10274</v>
      </c>
      <c r="G40" s="3" t="inlineStr">
        <is>
          <t>宣伝課</t>
        </is>
      </c>
      <c r="H40" s="3" t="inlineStr">
        <is>
          <t>カルチャー通信</t>
        </is>
      </c>
      <c r="I40" s="9" t="n">
        <v>46048</v>
      </c>
      <c r="J40" s="3" t="inlineStr">
        <is>
          <t>急ぎ対応</t>
        </is>
      </c>
      <c r="K40" s="8" t="b">
        <v>0</v>
      </c>
      <c r="L40" s="9" t="n"/>
    </row>
    <row r="41">
      <c r="A41" s="8" t="n">
        <v>40</v>
      </c>
      <c r="B41" s="8" t="n">
        <v>20</v>
      </c>
      <c r="C41" s="3" t="inlineStr">
        <is>
          <t>PRD-0020-2</t>
        </is>
      </c>
      <c r="D41" s="3" t="inlineStr">
        <is>
          <t>掲載誌 2</t>
        </is>
      </c>
      <c r="E41" s="11" t="n">
        <v>9861</v>
      </c>
      <c r="F41" s="11" t="n">
        <v>10847</v>
      </c>
      <c r="G41" s="3" t="inlineStr">
        <is>
          <t>営業部</t>
        </is>
      </c>
      <c r="H41" s="3" t="inlineStr">
        <is>
          <t>週刊PRESS</t>
        </is>
      </c>
      <c r="I41" s="9" t="n">
        <v>46047</v>
      </c>
      <c r="J41" s="3" t="inlineStr">
        <is>
          <t>要返却</t>
        </is>
      </c>
      <c r="K41" s="8" t="b">
        <v>1</v>
      </c>
      <c r="L41" s="9" t="n">
        <v>46078</v>
      </c>
    </row>
    <row r="42">
      <c r="A42" s="8" t="n">
        <v>41</v>
      </c>
      <c r="B42" s="8" t="n">
        <v>20</v>
      </c>
      <c r="C42" s="3" t="inlineStr">
        <is>
          <t>PRD-0020-3</t>
        </is>
      </c>
      <c r="D42" s="3" t="inlineStr">
        <is>
          <t>校正紙 3</t>
        </is>
      </c>
      <c r="E42" s="11" t="n">
        <v>10382</v>
      </c>
      <c r="F42" s="11" t="n">
        <v>11420</v>
      </c>
      <c r="G42" s="3" t="inlineStr">
        <is>
          <t>広告代理店A</t>
        </is>
      </c>
      <c r="H42" s="3" t="inlineStr">
        <is>
          <t>月刊メディア</t>
        </is>
      </c>
      <c r="I42" s="9" t="n">
        <v>46046</v>
      </c>
      <c r="J42" s="3" t="inlineStr">
        <is>
          <t>先方確認済み</t>
        </is>
      </c>
      <c r="K42" s="8" t="b">
        <v>1</v>
      </c>
      <c r="L42" s="9" t="n">
        <v>46077</v>
      </c>
    </row>
    <row r="43">
      <c r="A43" s="8" t="n">
        <v>42</v>
      </c>
      <c r="B43" s="8" t="n">
        <v>21</v>
      </c>
      <c r="C43" s="3" t="inlineStr">
        <is>
          <t>PRD-0021-1</t>
        </is>
      </c>
      <c r="D43" s="3" t="inlineStr">
        <is>
          <t>掲載誌 1</t>
        </is>
      </c>
      <c r="E43" s="11" t="n">
        <v>9657</v>
      </c>
      <c r="F43" s="11" t="n">
        <v>10623</v>
      </c>
      <c r="G43" s="3" t="inlineStr">
        <is>
          <t>営業部</t>
        </is>
      </c>
      <c r="H43" s="3" t="inlineStr">
        <is>
          <t>週刊PRESS</t>
        </is>
      </c>
      <c r="I43" s="9" t="n">
        <v>46049</v>
      </c>
      <c r="J43" s="3" t="inlineStr">
        <is>
          <t>要返却</t>
        </is>
      </c>
      <c r="K43" s="8" t="b">
        <v>1</v>
      </c>
      <c r="L43" s="9" t="n">
        <v>46082</v>
      </c>
    </row>
    <row r="44">
      <c r="A44" s="8" t="n">
        <v>43</v>
      </c>
      <c r="B44" s="8" t="n">
        <v>22</v>
      </c>
      <c r="C44" s="3" t="inlineStr">
        <is>
          <t>PRD-0022-1</t>
        </is>
      </c>
      <c r="D44" s="3" t="inlineStr">
        <is>
          <t>校正紙 1</t>
        </is>
      </c>
      <c r="E44" s="11" t="n">
        <v>9974</v>
      </c>
      <c r="F44" s="11" t="n">
        <v>10971</v>
      </c>
      <c r="G44" s="3" t="inlineStr">
        <is>
          <t>広告代理店A</t>
        </is>
      </c>
      <c r="H44" s="3" t="inlineStr">
        <is>
          <t>月刊メディア</t>
        </is>
      </c>
      <c r="I44" s="9" t="n">
        <v>46050</v>
      </c>
      <c r="J44" s="3" t="inlineStr">
        <is>
          <t>先方確認済み</t>
        </is>
      </c>
      <c r="K44" s="8" t="b">
        <v>1</v>
      </c>
      <c r="L44" s="9" t="n">
        <v>46085</v>
      </c>
    </row>
    <row r="45">
      <c r="A45" s="8" t="n">
        <v>44</v>
      </c>
      <c r="B45" s="8" t="n">
        <v>22</v>
      </c>
      <c r="C45" s="3" t="inlineStr">
        <is>
          <t>PRD-0022-2</t>
        </is>
      </c>
      <c r="D45" s="3" t="inlineStr">
        <is>
          <t>ノベルティ 2</t>
        </is>
      </c>
      <c r="E45" s="11" t="n">
        <v>10495</v>
      </c>
      <c r="F45" s="11" t="n">
        <v>11545</v>
      </c>
      <c r="G45" s="3" t="inlineStr">
        <is>
          <t>広告代理店B</t>
        </is>
      </c>
      <c r="H45" s="3" t="inlineStr">
        <is>
          <t>ニュースWave</t>
        </is>
      </c>
      <c r="I45" s="9" t="n">
        <v>46049</v>
      </c>
      <c r="J45" s="3" t="inlineStr">
        <is>
          <t>再送不可</t>
        </is>
      </c>
      <c r="K45" s="8" t="b">
        <v>1</v>
      </c>
      <c r="L45" s="9" t="n">
        <v>46084</v>
      </c>
    </row>
    <row r="46">
      <c r="A46" s="8" t="n">
        <v>45</v>
      </c>
      <c r="B46" s="8" t="n">
        <v>23</v>
      </c>
      <c r="C46" s="3" t="inlineStr">
        <is>
          <t>PRD-0023-1</t>
        </is>
      </c>
      <c r="D46" s="3" t="inlineStr">
        <is>
          <t>ノベルティ 1</t>
        </is>
      </c>
      <c r="E46" s="11" t="n">
        <v>10291</v>
      </c>
      <c r="F46" s="11" t="n">
        <v>11320</v>
      </c>
      <c r="G46" s="3" t="inlineStr">
        <is>
          <t>広告代理店B</t>
        </is>
      </c>
      <c r="H46" s="3" t="inlineStr">
        <is>
          <t>ニュースWave</t>
        </is>
      </c>
      <c r="I46" s="9" t="n">
        <v>46051</v>
      </c>
      <c r="J46" s="3" t="inlineStr">
        <is>
          <t>再送不可</t>
        </is>
      </c>
      <c r="K46" s="8" t="b">
        <v>1</v>
      </c>
      <c r="L46" s="9" t="n">
        <v>46088</v>
      </c>
    </row>
    <row r="47">
      <c r="A47" s="8" t="n">
        <v>46</v>
      </c>
      <c r="B47" s="8" t="n">
        <v>23</v>
      </c>
      <c r="C47" s="3" t="inlineStr">
        <is>
          <t>PRD-0023-2</t>
        </is>
      </c>
      <c r="D47" s="3" t="inlineStr">
        <is>
          <t>プレスキット 2</t>
        </is>
      </c>
      <c r="E47" s="11" t="n">
        <v>10812</v>
      </c>
      <c r="F47" s="11" t="n">
        <v>11893</v>
      </c>
      <c r="G47" s="3" t="inlineStr">
        <is>
          <t>編集部</t>
        </is>
      </c>
      <c r="H47" s="3" t="inlineStr">
        <is>
          <t>Biz Journal</t>
        </is>
      </c>
      <c r="I47" s="9" t="n">
        <v>46050</v>
      </c>
      <c r="J47" s="3" t="inlineStr">
        <is>
          <t>折れ注意</t>
        </is>
      </c>
      <c r="K47" s="8" t="b">
        <v>0</v>
      </c>
      <c r="L47" s="9" t="n"/>
    </row>
    <row r="48">
      <c r="A48" s="8" t="n">
        <v>47</v>
      </c>
      <c r="B48" s="8" t="n">
        <v>23</v>
      </c>
      <c r="C48" s="3" t="inlineStr">
        <is>
          <t>PRD-0023-3</t>
        </is>
      </c>
      <c r="D48" s="3" t="inlineStr">
        <is>
          <t>販促POP 3</t>
        </is>
      </c>
      <c r="E48" s="11" t="n">
        <v>11333</v>
      </c>
      <c r="F48" s="11" t="n">
        <v>12466</v>
      </c>
      <c r="G48" s="3" t="inlineStr">
        <is>
          <t>制作部</t>
        </is>
      </c>
      <c r="H48" s="3" t="inlineStr">
        <is>
          <t>Tech Line</t>
        </is>
      </c>
      <c r="I48" s="9" t="n">
        <v>46049</v>
      </c>
      <c r="J48" s="3" t="inlineStr">
        <is>
          <t>機密資料を含む</t>
        </is>
      </c>
      <c r="K48" s="8" t="b">
        <v>1</v>
      </c>
      <c r="L48" s="9" t="n">
        <v>46086</v>
      </c>
    </row>
    <row r="49">
      <c r="A49" s="8" t="n">
        <v>48</v>
      </c>
      <c r="B49" s="8" t="n">
        <v>24</v>
      </c>
      <c r="C49" s="3" t="inlineStr">
        <is>
          <t>PRD-0024-1</t>
        </is>
      </c>
      <c r="D49" s="3" t="inlineStr">
        <is>
          <t>プレスキット 1</t>
        </is>
      </c>
      <c r="E49" s="11" t="n">
        <v>10608</v>
      </c>
      <c r="F49" s="11" t="n">
        <v>11669</v>
      </c>
      <c r="G49" s="3" t="inlineStr">
        <is>
          <t>編集部</t>
        </is>
      </c>
      <c r="H49" s="3" t="inlineStr">
        <is>
          <t>Biz Journal</t>
        </is>
      </c>
      <c r="I49" s="9" t="n">
        <v>46052</v>
      </c>
      <c r="J49" s="3" t="inlineStr">
        <is>
          <t>折れ注意</t>
        </is>
      </c>
      <c r="K49" s="8" t="b">
        <v>0</v>
      </c>
      <c r="L49" s="9" t="n"/>
    </row>
    <row r="50">
      <c r="A50" s="8" t="n">
        <v>49</v>
      </c>
      <c r="B50" s="8" t="n">
        <v>25</v>
      </c>
      <c r="C50" s="3" t="inlineStr">
        <is>
          <t>PRD-0025-1</t>
        </is>
      </c>
      <c r="D50" s="3" t="inlineStr">
        <is>
          <t>販促POP 1</t>
        </is>
      </c>
      <c r="E50" s="11" t="n">
        <v>10925</v>
      </c>
      <c r="F50" s="11" t="n">
        <v>12018</v>
      </c>
      <c r="G50" s="3" t="inlineStr">
        <is>
          <t>制作部</t>
        </is>
      </c>
      <c r="H50" s="3" t="inlineStr">
        <is>
          <t>Tech Line</t>
        </is>
      </c>
      <c r="I50" s="9" t="n">
        <v>46053</v>
      </c>
      <c r="J50" s="3" t="inlineStr">
        <is>
          <t>機密資料を含む</t>
        </is>
      </c>
      <c r="K50" s="8" t="b">
        <v>1</v>
      </c>
      <c r="L50" s="9" t="n">
        <v>46086</v>
      </c>
    </row>
    <row r="51">
      <c r="A51" s="8" t="n">
        <v>50</v>
      </c>
      <c r="B51" s="8" t="n">
        <v>25</v>
      </c>
      <c r="C51" s="3" t="inlineStr">
        <is>
          <t>PRD-0025-2</t>
        </is>
      </c>
      <c r="D51" s="3" t="inlineStr">
        <is>
          <t>取材資料 2</t>
        </is>
      </c>
      <c r="E51" s="11" t="n">
        <v>11446</v>
      </c>
      <c r="F51" s="11" t="n">
        <v>12591</v>
      </c>
      <c r="G51" s="3" t="inlineStr">
        <is>
          <t>宣伝課</t>
        </is>
      </c>
      <c r="H51" s="3" t="inlineStr">
        <is>
          <t>生活スタイル</t>
        </is>
      </c>
      <c r="I51" s="9" t="n">
        <v>46052</v>
      </c>
      <c r="J51" s="3" t="inlineStr">
        <is>
          <t>予備あり</t>
        </is>
      </c>
      <c r="K51" s="8" t="b">
        <v>1</v>
      </c>
      <c r="L51" s="9" t="n">
        <v>46085</v>
      </c>
    </row>
    <row r="52">
      <c r="A52" s="8" t="n">
        <v>51</v>
      </c>
      <c r="B52" s="8" t="n">
        <v>26</v>
      </c>
      <c r="C52" s="3" t="inlineStr">
        <is>
          <t>PRD-0026-1</t>
        </is>
      </c>
      <c r="D52" s="3" t="inlineStr">
        <is>
          <t>取材資料 1</t>
        </is>
      </c>
      <c r="E52" s="11" t="n">
        <v>11242</v>
      </c>
      <c r="F52" s="11" t="n">
        <v>12366</v>
      </c>
      <c r="G52" s="3" t="inlineStr">
        <is>
          <t>宣伝課</t>
        </is>
      </c>
      <c r="H52" s="3" t="inlineStr">
        <is>
          <t>生活スタイル</t>
        </is>
      </c>
      <c r="I52" s="9" t="n">
        <v>46054</v>
      </c>
      <c r="J52" s="3" t="inlineStr">
        <is>
          <t>予備あり</t>
        </is>
      </c>
      <c r="K52" s="8" t="b">
        <v>1</v>
      </c>
      <c r="L52" s="9" t="n">
        <v>46089</v>
      </c>
    </row>
    <row r="53">
      <c r="A53" s="8" t="n">
        <v>52</v>
      </c>
      <c r="B53" s="8" t="n">
        <v>26</v>
      </c>
      <c r="C53" s="3" t="inlineStr">
        <is>
          <t>PRD-0026-2</t>
        </is>
      </c>
      <c r="D53" s="3" t="inlineStr">
        <is>
          <t>サンプル冊子 2</t>
        </is>
      </c>
      <c r="E53" s="11" t="n">
        <v>11763</v>
      </c>
      <c r="F53" s="11" t="n">
        <v>12939</v>
      </c>
      <c r="G53" s="3" t="inlineStr">
        <is>
          <t>営業部</t>
        </is>
      </c>
      <c r="H53" s="3" t="inlineStr">
        <is>
          <t>カルチャー通信</t>
        </is>
      </c>
      <c r="I53" s="9" t="n">
        <v>46053</v>
      </c>
      <c r="J53" s="3" t="inlineStr">
        <is>
          <t>急ぎ対応</t>
        </is>
      </c>
      <c r="K53" s="8" t="b">
        <v>1</v>
      </c>
      <c r="L53" s="9" t="n">
        <v>46088</v>
      </c>
    </row>
    <row r="54">
      <c r="A54" s="8" t="n">
        <v>53</v>
      </c>
      <c r="B54" s="8" t="n">
        <v>26</v>
      </c>
      <c r="C54" s="3" t="inlineStr">
        <is>
          <t>PRD-0026-3</t>
        </is>
      </c>
      <c r="D54" s="3" t="inlineStr">
        <is>
          <t>広報写真 3</t>
        </is>
      </c>
      <c r="E54" s="11" t="n">
        <v>12284</v>
      </c>
      <c r="F54" s="11" t="n">
        <v>13512</v>
      </c>
      <c r="G54" s="3" t="inlineStr">
        <is>
          <t>広告代理店A</t>
        </is>
      </c>
      <c r="H54" s="3" t="inlineStr">
        <is>
          <t>週刊PRESS</t>
        </is>
      </c>
      <c r="I54" s="9" t="n">
        <v>46052</v>
      </c>
      <c r="J54" s="3" t="inlineStr">
        <is>
          <t>要返却</t>
        </is>
      </c>
      <c r="K54" s="8" t="b">
        <v>0</v>
      </c>
      <c r="L54" s="9" t="n"/>
    </row>
    <row r="55">
      <c r="A55" s="8" t="n">
        <v>54</v>
      </c>
      <c r="B55" s="8" t="n">
        <v>27</v>
      </c>
      <c r="C55" s="3" t="inlineStr">
        <is>
          <t>PRD-0027-1</t>
        </is>
      </c>
      <c r="D55" s="3" t="inlineStr">
        <is>
          <t>サンプル冊子 1</t>
        </is>
      </c>
      <c r="E55" s="11" t="n">
        <v>11559</v>
      </c>
      <c r="F55" s="11" t="n">
        <v>12715</v>
      </c>
      <c r="G55" s="3" t="inlineStr">
        <is>
          <t>営業部</t>
        </is>
      </c>
      <c r="H55" s="3" t="inlineStr">
        <is>
          <t>カルチャー通信</t>
        </is>
      </c>
      <c r="I55" s="9" t="n">
        <v>46055</v>
      </c>
      <c r="J55" s="3" t="inlineStr">
        <is>
          <t>急ぎ対応</t>
        </is>
      </c>
      <c r="K55" s="8" t="b">
        <v>1</v>
      </c>
      <c r="L55" s="9" t="n">
        <v>46092</v>
      </c>
    </row>
    <row r="56">
      <c r="A56" s="8" t="n">
        <v>55</v>
      </c>
      <c r="B56" s="8" t="n">
        <v>28</v>
      </c>
      <c r="C56" s="3" t="inlineStr">
        <is>
          <t>PRD-0028-1</t>
        </is>
      </c>
      <c r="D56" s="3" t="inlineStr">
        <is>
          <t>広報写真 1</t>
        </is>
      </c>
      <c r="E56" s="11" t="n">
        <v>11876</v>
      </c>
      <c r="F56" s="11" t="n">
        <v>13064</v>
      </c>
      <c r="G56" s="3" t="inlineStr">
        <is>
          <t>広告代理店A</t>
        </is>
      </c>
      <c r="H56" s="3" t="inlineStr">
        <is>
          <t>週刊PRESS</t>
        </is>
      </c>
      <c r="I56" s="9" t="n">
        <v>46056</v>
      </c>
      <c r="J56" s="3" t="inlineStr">
        <is>
          <t>要返却</t>
        </is>
      </c>
      <c r="K56" s="8" t="b">
        <v>0</v>
      </c>
      <c r="L56" s="9" t="n"/>
    </row>
    <row r="57">
      <c r="A57" s="8" t="n">
        <v>56</v>
      </c>
      <c r="B57" s="8" t="n">
        <v>28</v>
      </c>
      <c r="C57" s="3" t="inlineStr">
        <is>
          <t>PRD-0028-2</t>
        </is>
      </c>
      <c r="D57" s="3" t="inlineStr">
        <is>
          <t>掲載誌 2</t>
        </is>
      </c>
      <c r="E57" s="11" t="n">
        <v>12397</v>
      </c>
      <c r="F57" s="11" t="n">
        <v>13637</v>
      </c>
      <c r="G57" s="3" t="inlineStr">
        <is>
          <t>広告代理店B</t>
        </is>
      </c>
      <c r="H57" s="3" t="inlineStr">
        <is>
          <t>月刊メディア</t>
        </is>
      </c>
      <c r="I57" s="9" t="n">
        <v>46055</v>
      </c>
      <c r="J57" s="3" t="inlineStr">
        <is>
          <t>先方確認済み</t>
        </is>
      </c>
      <c r="K57" s="8" t="b">
        <v>1</v>
      </c>
      <c r="L57" s="9" t="n">
        <v>46094</v>
      </c>
    </row>
    <row r="58">
      <c r="A58" s="8" t="n">
        <v>57</v>
      </c>
      <c r="B58" s="8" t="n">
        <v>29</v>
      </c>
      <c r="C58" s="3" t="inlineStr">
        <is>
          <t>PRD-0029-1</t>
        </is>
      </c>
      <c r="D58" s="3" t="inlineStr">
        <is>
          <t>掲載誌 1</t>
        </is>
      </c>
      <c r="E58" s="11" t="n">
        <v>12193</v>
      </c>
      <c r="F58" s="11" t="n">
        <v>13412</v>
      </c>
      <c r="G58" s="3" t="inlineStr">
        <is>
          <t>広告代理店B</t>
        </is>
      </c>
      <c r="H58" s="3" t="inlineStr">
        <is>
          <t>月刊メディア</t>
        </is>
      </c>
      <c r="I58" s="9" t="n">
        <v>46057</v>
      </c>
      <c r="J58" s="3" t="inlineStr">
        <is>
          <t>先方確認済み</t>
        </is>
      </c>
      <c r="K58" s="8" t="b">
        <v>1</v>
      </c>
      <c r="L58" s="9" t="n">
        <v>46098</v>
      </c>
    </row>
    <row r="59">
      <c r="A59" s="8" t="n">
        <v>58</v>
      </c>
      <c r="B59" s="8" t="n">
        <v>29</v>
      </c>
      <c r="C59" s="3" t="inlineStr">
        <is>
          <t>PRD-0029-2</t>
        </is>
      </c>
      <c r="D59" s="3" t="inlineStr">
        <is>
          <t>校正紙 2</t>
        </is>
      </c>
      <c r="E59" s="11" t="n">
        <v>12714</v>
      </c>
      <c r="F59" s="11" t="n">
        <v>13985</v>
      </c>
      <c r="G59" s="3" t="inlineStr">
        <is>
          <t>編集部</t>
        </is>
      </c>
      <c r="H59" s="3" t="inlineStr">
        <is>
          <t>ニュースWave</t>
        </is>
      </c>
      <c r="I59" s="9" t="n">
        <v>46056</v>
      </c>
      <c r="J59" s="3" t="inlineStr">
        <is>
          <t>再送不可</t>
        </is>
      </c>
      <c r="K59" s="8" t="b">
        <v>1</v>
      </c>
      <c r="L59" s="9" t="n">
        <v>46097</v>
      </c>
    </row>
    <row r="60">
      <c r="A60" s="8" t="n">
        <v>59</v>
      </c>
      <c r="B60" s="8" t="n">
        <v>29</v>
      </c>
      <c r="C60" s="3" t="inlineStr">
        <is>
          <t>PRD-0029-3</t>
        </is>
      </c>
      <c r="D60" s="3" t="inlineStr">
        <is>
          <t>ノベルティ 3</t>
        </is>
      </c>
      <c r="E60" s="11" t="n">
        <v>13235</v>
      </c>
      <c r="F60" s="11" t="n">
        <v>14559</v>
      </c>
      <c r="G60" s="3" t="inlineStr">
        <is>
          <t>制作部</t>
        </is>
      </c>
      <c r="H60" s="3" t="inlineStr">
        <is>
          <t>Biz Journal</t>
        </is>
      </c>
      <c r="I60" s="9" t="n">
        <v>46055</v>
      </c>
      <c r="J60" s="3" t="inlineStr">
        <is>
          <t>折れ注意</t>
        </is>
      </c>
      <c r="K60" s="8" t="b">
        <v>1</v>
      </c>
      <c r="L60" s="9" t="n">
        <v>46096</v>
      </c>
    </row>
    <row r="61">
      <c r="A61" s="8" t="n">
        <v>60</v>
      </c>
      <c r="B61" s="8" t="n">
        <v>30</v>
      </c>
      <c r="C61" s="3" t="inlineStr">
        <is>
          <t>PRD-0030-1</t>
        </is>
      </c>
      <c r="D61" s="3" t="inlineStr">
        <is>
          <t>校正紙 1</t>
        </is>
      </c>
      <c r="E61" s="11" t="n">
        <v>12510</v>
      </c>
      <c r="F61" s="11" t="n">
        <v>13761</v>
      </c>
      <c r="G61" s="3" t="inlineStr">
        <is>
          <t>編集部</t>
        </is>
      </c>
      <c r="H61" s="3" t="inlineStr">
        <is>
          <t>ニュースWave</t>
        </is>
      </c>
      <c r="I61" s="9" t="n">
        <v>46058</v>
      </c>
      <c r="J61" s="3" t="inlineStr">
        <is>
          <t>再送不可</t>
        </is>
      </c>
      <c r="K61" s="8" t="b">
        <v>1</v>
      </c>
      <c r="L61" s="9" t="n">
        <v>46101</v>
      </c>
    </row>
    <row r="62">
      <c r="A62" s="8" t="n">
        <v>61</v>
      </c>
      <c r="B62" s="8" t="n">
        <v>31</v>
      </c>
      <c r="C62" s="3" t="inlineStr">
        <is>
          <t>PRD-0031-1</t>
        </is>
      </c>
      <c r="D62" s="3" t="inlineStr">
        <is>
          <t>ノベルティ 1</t>
        </is>
      </c>
      <c r="E62" s="11" t="n">
        <v>12827</v>
      </c>
      <c r="F62" s="11" t="n">
        <v>14110</v>
      </c>
      <c r="G62" s="3" t="inlineStr">
        <is>
          <t>制作部</t>
        </is>
      </c>
      <c r="H62" s="3" t="inlineStr">
        <is>
          <t>Biz Journal</t>
        </is>
      </c>
      <c r="I62" s="9" t="n">
        <v>46059</v>
      </c>
      <c r="J62" s="3" t="inlineStr">
        <is>
          <t>折れ注意</t>
        </is>
      </c>
      <c r="K62" s="8" t="b">
        <v>1</v>
      </c>
      <c r="L62" s="9" t="n">
        <v>46104</v>
      </c>
    </row>
    <row r="63">
      <c r="A63" s="8" t="n">
        <v>62</v>
      </c>
      <c r="B63" s="8" t="n">
        <v>31</v>
      </c>
      <c r="C63" s="3" t="inlineStr">
        <is>
          <t>PRD-0031-2</t>
        </is>
      </c>
      <c r="D63" s="3" t="inlineStr">
        <is>
          <t>プレスキット 2</t>
        </is>
      </c>
      <c r="E63" s="11" t="n">
        <v>13348</v>
      </c>
      <c r="F63" s="11" t="n">
        <v>14683</v>
      </c>
      <c r="G63" s="3" t="inlineStr">
        <is>
          <t>宣伝課</t>
        </is>
      </c>
      <c r="H63" s="3" t="inlineStr">
        <is>
          <t>Tech Line</t>
        </is>
      </c>
      <c r="I63" s="9" t="n">
        <v>46058</v>
      </c>
      <c r="J63" s="3" t="inlineStr">
        <is>
          <t>機密資料を含む</t>
        </is>
      </c>
      <c r="K63" s="8" t="b">
        <v>0</v>
      </c>
      <c r="L63" s="9" t="n"/>
    </row>
    <row r="64">
      <c r="A64" s="8" t="n">
        <v>63</v>
      </c>
      <c r="B64" s="8" t="n">
        <v>32</v>
      </c>
      <c r="C64" s="3" t="inlineStr">
        <is>
          <t>PRD-0032-1</t>
        </is>
      </c>
      <c r="D64" s="3" t="inlineStr">
        <is>
          <t>プレスキット 1</t>
        </is>
      </c>
      <c r="E64" s="11" t="n">
        <v>13144</v>
      </c>
      <c r="F64" s="11" t="n">
        <v>14458</v>
      </c>
      <c r="G64" s="3" t="inlineStr">
        <is>
          <t>宣伝課</t>
        </is>
      </c>
      <c r="H64" s="3" t="inlineStr">
        <is>
          <t>Tech Line</t>
        </is>
      </c>
      <c r="I64" s="9" t="n">
        <v>46060</v>
      </c>
      <c r="J64" s="3" t="inlineStr">
        <is>
          <t>機密資料を含む</t>
        </is>
      </c>
      <c r="K64" s="8" t="b">
        <v>0</v>
      </c>
      <c r="L64" s="9" t="n"/>
    </row>
    <row r="65">
      <c r="A65" s="8" t="n">
        <v>64</v>
      </c>
      <c r="B65" s="8" t="n">
        <v>32</v>
      </c>
      <c r="C65" s="3" t="inlineStr">
        <is>
          <t>PRD-0032-2</t>
        </is>
      </c>
      <c r="D65" s="3" t="inlineStr">
        <is>
          <t>販促POP 2</t>
        </is>
      </c>
      <c r="E65" s="11" t="n">
        <v>13665</v>
      </c>
      <c r="F65" s="11" t="n">
        <v>15032</v>
      </c>
      <c r="G65" s="3" t="inlineStr">
        <is>
          <t>営業部</t>
        </is>
      </c>
      <c r="H65" s="3" t="inlineStr">
        <is>
          <t>生活スタイル</t>
        </is>
      </c>
      <c r="I65" s="9" t="n">
        <v>46059</v>
      </c>
      <c r="J65" s="3" t="inlineStr">
        <is>
          <t>予備あり</t>
        </is>
      </c>
      <c r="K65" s="8" t="b">
        <v>1</v>
      </c>
      <c r="L65" s="9" t="n">
        <v>46098</v>
      </c>
    </row>
    <row r="66">
      <c r="A66" s="8" t="n">
        <v>65</v>
      </c>
      <c r="B66" s="8" t="n">
        <v>32</v>
      </c>
      <c r="C66" s="3" t="inlineStr">
        <is>
          <t>PRD-0032-3</t>
        </is>
      </c>
      <c r="D66" s="3" t="inlineStr">
        <is>
          <t>取材資料 3</t>
        </is>
      </c>
      <c r="E66" s="11" t="n">
        <v>14186</v>
      </c>
      <c r="F66" s="11" t="n">
        <v>15605</v>
      </c>
      <c r="G66" s="3" t="inlineStr">
        <is>
          <t>広告代理店A</t>
        </is>
      </c>
      <c r="H66" s="3" t="inlineStr">
        <is>
          <t>カルチャー通信</t>
        </is>
      </c>
      <c r="I66" s="9" t="n">
        <v>46058</v>
      </c>
      <c r="J66" s="3" t="inlineStr">
        <is>
          <t>急ぎ対応</t>
        </is>
      </c>
      <c r="K66" s="8" t="b">
        <v>1</v>
      </c>
      <c r="L66" s="9" t="n">
        <v>46097</v>
      </c>
    </row>
    <row r="67">
      <c r="A67" s="8" t="n">
        <v>66</v>
      </c>
      <c r="B67" s="8" t="n">
        <v>33</v>
      </c>
      <c r="C67" s="3" t="inlineStr">
        <is>
          <t>PRD-0033-1</t>
        </is>
      </c>
      <c r="D67" s="3" t="inlineStr">
        <is>
          <t>販促POP 1</t>
        </is>
      </c>
      <c r="E67" s="11" t="n">
        <v>13461</v>
      </c>
      <c r="F67" s="11" t="n">
        <v>14807</v>
      </c>
      <c r="G67" s="3" t="inlineStr">
        <is>
          <t>営業部</t>
        </is>
      </c>
      <c r="H67" s="3" t="inlineStr">
        <is>
          <t>生活スタイル</t>
        </is>
      </c>
      <c r="I67" s="9" t="n">
        <v>46061</v>
      </c>
      <c r="J67" s="3" t="inlineStr">
        <is>
          <t>予備あり</t>
        </is>
      </c>
      <c r="K67" s="8" t="b">
        <v>1</v>
      </c>
      <c r="L67" s="9" t="n">
        <v>46102</v>
      </c>
    </row>
    <row r="68">
      <c r="A68" s="8" t="n">
        <v>67</v>
      </c>
      <c r="B68" s="8" t="n">
        <v>34</v>
      </c>
      <c r="C68" s="3" t="inlineStr">
        <is>
          <t>PRD-0034-1</t>
        </is>
      </c>
      <c r="D68" s="3" t="inlineStr">
        <is>
          <t>取材資料 1</t>
        </is>
      </c>
      <c r="E68" s="11" t="n">
        <v>13778</v>
      </c>
      <c r="F68" s="11" t="n">
        <v>15156</v>
      </c>
      <c r="G68" s="3" t="inlineStr">
        <is>
          <t>広告代理店A</t>
        </is>
      </c>
      <c r="H68" s="3" t="inlineStr">
        <is>
          <t>カルチャー通信</t>
        </is>
      </c>
      <c r="I68" s="9" t="n">
        <v>46062</v>
      </c>
      <c r="J68" s="3" t="inlineStr">
        <is>
          <t>急ぎ対応</t>
        </is>
      </c>
      <c r="K68" s="8" t="b">
        <v>1</v>
      </c>
      <c r="L68" s="9" t="n">
        <v>46105</v>
      </c>
    </row>
    <row r="69">
      <c r="A69" s="8" t="n">
        <v>68</v>
      </c>
      <c r="B69" s="8" t="n">
        <v>34</v>
      </c>
      <c r="C69" s="3" t="inlineStr">
        <is>
          <t>PRD-0034-2</t>
        </is>
      </c>
      <c r="D69" s="3" t="inlineStr">
        <is>
          <t>サンプル冊子 2</t>
        </is>
      </c>
      <c r="E69" s="11" t="n">
        <v>14299</v>
      </c>
      <c r="F69" s="11" t="n">
        <v>15729</v>
      </c>
      <c r="G69" s="3" t="inlineStr">
        <is>
          <t>広告代理店B</t>
        </is>
      </c>
      <c r="H69" s="3" t="inlineStr">
        <is>
          <t>週刊PRESS</t>
        </is>
      </c>
      <c r="I69" s="9" t="n">
        <v>46061</v>
      </c>
      <c r="J69" s="3" t="inlineStr">
        <is>
          <t>要返却</t>
        </is>
      </c>
      <c r="K69" s="8" t="b">
        <v>1</v>
      </c>
      <c r="L69" s="9" t="n">
        <v>46104</v>
      </c>
    </row>
    <row r="70">
      <c r="A70" s="8" t="n">
        <v>69</v>
      </c>
      <c r="B70" s="8" t="n">
        <v>35</v>
      </c>
      <c r="C70" s="3" t="inlineStr">
        <is>
          <t>PRD-0035-1</t>
        </is>
      </c>
      <c r="D70" s="3" t="inlineStr">
        <is>
          <t>サンプル冊子 1</t>
        </is>
      </c>
      <c r="E70" s="11" t="n">
        <v>14095</v>
      </c>
      <c r="F70" s="11" t="n">
        <v>15505</v>
      </c>
      <c r="G70" s="3" t="inlineStr">
        <is>
          <t>広告代理店B</t>
        </is>
      </c>
      <c r="H70" s="3" t="inlineStr">
        <is>
          <t>週刊PRESS</t>
        </is>
      </c>
      <c r="I70" s="9" t="n">
        <v>46063</v>
      </c>
      <c r="J70" s="3" t="inlineStr">
        <is>
          <t>要返却</t>
        </is>
      </c>
      <c r="K70" s="8" t="b">
        <v>1</v>
      </c>
      <c r="L70" s="9" t="n">
        <v>46108</v>
      </c>
    </row>
    <row r="71">
      <c r="A71" s="8" t="n">
        <v>70</v>
      </c>
      <c r="B71" s="8" t="n">
        <v>35</v>
      </c>
      <c r="C71" s="3" t="inlineStr">
        <is>
          <t>PRD-0035-2</t>
        </is>
      </c>
      <c r="D71" s="3" t="inlineStr">
        <is>
          <t>広報写真 2</t>
        </is>
      </c>
      <c r="E71" s="11" t="n">
        <v>14616</v>
      </c>
      <c r="F71" s="11" t="n">
        <v>16078</v>
      </c>
      <c r="G71" s="3" t="inlineStr">
        <is>
          <t>編集部</t>
        </is>
      </c>
      <c r="H71" s="3" t="inlineStr">
        <is>
          <t>月刊メディア</t>
        </is>
      </c>
      <c r="I71" s="9" t="n">
        <v>46062</v>
      </c>
      <c r="J71" s="3" t="inlineStr">
        <is>
          <t>先方確認済み</t>
        </is>
      </c>
      <c r="K71" s="8" t="b">
        <v>0</v>
      </c>
      <c r="L71" s="9" t="n"/>
    </row>
    <row r="72">
      <c r="A72" s="8" t="n">
        <v>71</v>
      </c>
      <c r="B72" s="8" t="n">
        <v>35</v>
      </c>
      <c r="C72" s="3" t="inlineStr">
        <is>
          <t>PRD-0035-3</t>
        </is>
      </c>
      <c r="D72" s="3" t="inlineStr">
        <is>
          <t>掲載誌 3</t>
        </is>
      </c>
      <c r="E72" s="11" t="n">
        <v>15137</v>
      </c>
      <c r="F72" s="11" t="n">
        <v>16651</v>
      </c>
      <c r="G72" s="3" t="inlineStr">
        <is>
          <t>制作部</t>
        </is>
      </c>
      <c r="H72" s="3" t="inlineStr">
        <is>
          <t>ニュースWave</t>
        </is>
      </c>
      <c r="I72" s="9" t="n">
        <v>46061</v>
      </c>
      <c r="J72" s="3" t="inlineStr">
        <is>
          <t>再送不可</t>
        </is>
      </c>
      <c r="K72" s="8" t="b">
        <v>1</v>
      </c>
      <c r="L72" s="9" t="n">
        <v>46106</v>
      </c>
    </row>
    <row r="73">
      <c r="A73" s="8" t="n">
        <v>72</v>
      </c>
      <c r="B73" s="8" t="n">
        <v>36</v>
      </c>
      <c r="C73" s="3" t="inlineStr">
        <is>
          <t>PRD-0036-1</t>
        </is>
      </c>
      <c r="D73" s="3" t="inlineStr">
        <is>
          <t>広報写真 1</t>
        </is>
      </c>
      <c r="E73" s="11" t="n">
        <v>14412</v>
      </c>
      <c r="F73" s="11" t="n">
        <v>15853</v>
      </c>
      <c r="G73" s="3" t="inlineStr">
        <is>
          <t>編集部</t>
        </is>
      </c>
      <c r="H73" s="3" t="inlineStr">
        <is>
          <t>月刊メディア</t>
        </is>
      </c>
      <c r="I73" s="9" t="n">
        <v>46064</v>
      </c>
      <c r="J73" s="3" t="inlineStr">
        <is>
          <t>先方確認済み</t>
        </is>
      </c>
      <c r="K73" s="8" t="b">
        <v>0</v>
      </c>
      <c r="L73" s="9" t="n"/>
    </row>
    <row r="74">
      <c r="A74" s="8" t="n">
        <v>73</v>
      </c>
      <c r="B74" s="8" t="n">
        <v>37</v>
      </c>
      <c r="C74" s="3" t="inlineStr">
        <is>
          <t>PRD-0037-1</t>
        </is>
      </c>
      <c r="D74" s="3" t="inlineStr">
        <is>
          <t>掲載誌 1</t>
        </is>
      </c>
      <c r="E74" s="11" t="n">
        <v>14729</v>
      </c>
      <c r="F74" s="11" t="n">
        <v>16202</v>
      </c>
      <c r="G74" s="3" t="inlineStr">
        <is>
          <t>制作部</t>
        </is>
      </c>
      <c r="H74" s="3" t="inlineStr">
        <is>
          <t>ニュースWave</t>
        </is>
      </c>
      <c r="I74" s="9" t="n">
        <v>46065</v>
      </c>
      <c r="J74" s="3" t="inlineStr">
        <is>
          <t>再送不可</t>
        </is>
      </c>
      <c r="K74" s="8" t="b">
        <v>1</v>
      </c>
      <c r="L74" s="9" t="n">
        <v>46114</v>
      </c>
    </row>
    <row r="75">
      <c r="A75" s="8" t="n">
        <v>74</v>
      </c>
      <c r="B75" s="8" t="n">
        <v>37</v>
      </c>
      <c r="C75" s="3" t="inlineStr">
        <is>
          <t>PRD-0037-2</t>
        </is>
      </c>
      <c r="D75" s="3" t="inlineStr">
        <is>
          <t>校正紙 2</t>
        </is>
      </c>
      <c r="E75" s="11" t="n">
        <v>15250</v>
      </c>
      <c r="F75" s="11" t="n">
        <v>16775</v>
      </c>
      <c r="G75" s="3" t="inlineStr">
        <is>
          <t>宣伝課</t>
        </is>
      </c>
      <c r="H75" s="3" t="inlineStr">
        <is>
          <t>Biz Journal</t>
        </is>
      </c>
      <c r="I75" s="9" t="n">
        <v>46064</v>
      </c>
      <c r="J75" s="3" t="inlineStr">
        <is>
          <t>折れ注意</t>
        </is>
      </c>
      <c r="K75" s="8" t="b">
        <v>1</v>
      </c>
      <c r="L75" s="9" t="n">
        <v>46113</v>
      </c>
    </row>
    <row r="76">
      <c r="A76" s="8" t="n">
        <v>75</v>
      </c>
      <c r="B76" s="8" t="n">
        <v>38</v>
      </c>
      <c r="C76" s="3" t="inlineStr">
        <is>
          <t>PRD-0038-1</t>
        </is>
      </c>
      <c r="D76" s="3" t="inlineStr">
        <is>
          <t>校正紙 1</t>
        </is>
      </c>
      <c r="E76" s="11" t="n">
        <v>15046</v>
      </c>
      <c r="F76" s="11" t="n">
        <v>16551</v>
      </c>
      <c r="G76" s="3" t="inlineStr">
        <is>
          <t>宣伝課</t>
        </is>
      </c>
      <c r="H76" s="3" t="inlineStr">
        <is>
          <t>Biz Journal</t>
        </is>
      </c>
      <c r="I76" s="9" t="n">
        <v>46066</v>
      </c>
      <c r="J76" s="3" t="inlineStr">
        <is>
          <t>折れ注意</t>
        </is>
      </c>
      <c r="K76" s="8" t="b">
        <v>1</v>
      </c>
      <c r="L76" s="9" t="n">
        <v>46117</v>
      </c>
    </row>
    <row r="77">
      <c r="A77" s="8" t="n">
        <v>76</v>
      </c>
      <c r="B77" s="8" t="n">
        <v>38</v>
      </c>
      <c r="C77" s="3" t="inlineStr">
        <is>
          <t>PRD-0038-2</t>
        </is>
      </c>
      <c r="D77" s="3" t="inlineStr">
        <is>
          <t>ノベルティ 2</t>
        </is>
      </c>
      <c r="E77" s="11" t="n">
        <v>15567</v>
      </c>
      <c r="F77" s="11" t="n">
        <v>17124</v>
      </c>
      <c r="G77" s="3" t="inlineStr">
        <is>
          <t>営業部</t>
        </is>
      </c>
      <c r="H77" s="3" t="inlineStr">
        <is>
          <t>Tech Line</t>
        </is>
      </c>
      <c r="I77" s="9" t="n">
        <v>46065</v>
      </c>
      <c r="J77" s="3" t="inlineStr">
        <is>
          <t>機密資料を含む</t>
        </is>
      </c>
      <c r="K77" s="8" t="b">
        <v>1</v>
      </c>
      <c r="L77" s="9" t="n">
        <v>46116</v>
      </c>
    </row>
    <row r="78">
      <c r="A78" s="8" t="n">
        <v>77</v>
      </c>
      <c r="B78" s="8" t="n">
        <v>38</v>
      </c>
      <c r="C78" s="3" t="inlineStr">
        <is>
          <t>PRD-0038-3</t>
        </is>
      </c>
      <c r="D78" s="3" t="inlineStr">
        <is>
          <t>プレスキット 3</t>
        </is>
      </c>
      <c r="E78" s="11" t="n">
        <v>16088</v>
      </c>
      <c r="F78" s="11" t="n">
        <v>17697</v>
      </c>
      <c r="G78" s="3" t="inlineStr">
        <is>
          <t>広告代理店A</t>
        </is>
      </c>
      <c r="H78" s="3" t="inlineStr">
        <is>
          <t>生活スタイル</t>
        </is>
      </c>
      <c r="I78" s="9" t="n">
        <v>46064</v>
      </c>
      <c r="J78" s="3" t="inlineStr">
        <is>
          <t>予備あり</t>
        </is>
      </c>
      <c r="K78" s="8" t="b">
        <v>0</v>
      </c>
      <c r="L78" s="9" t="n"/>
    </row>
    <row r="79">
      <c r="A79" s="8" t="n">
        <v>78</v>
      </c>
      <c r="B79" s="8" t="n">
        <v>39</v>
      </c>
      <c r="C79" s="3" t="inlineStr">
        <is>
          <t>PRD-0039-1</t>
        </is>
      </c>
      <c r="D79" s="3" t="inlineStr">
        <is>
          <t>ノベルティ 1</t>
        </is>
      </c>
      <c r="E79" s="11" t="n">
        <v>15363</v>
      </c>
      <c r="F79" s="11" t="n">
        <v>16899</v>
      </c>
      <c r="G79" s="3" t="inlineStr">
        <is>
          <t>営業部</t>
        </is>
      </c>
      <c r="H79" s="3" t="inlineStr">
        <is>
          <t>Tech Line</t>
        </is>
      </c>
      <c r="I79" s="9" t="n">
        <v>46067</v>
      </c>
      <c r="J79" s="3" t="inlineStr">
        <is>
          <t>機密資料を含む</t>
        </is>
      </c>
      <c r="K79" s="8" t="b">
        <v>1</v>
      </c>
      <c r="L79" s="9" t="n">
        <v>46120</v>
      </c>
    </row>
    <row r="80">
      <c r="A80" s="8" t="n">
        <v>79</v>
      </c>
      <c r="B80" s="8" t="n">
        <v>40</v>
      </c>
      <c r="C80" s="3" t="inlineStr">
        <is>
          <t>PRD-0040-1</t>
        </is>
      </c>
      <c r="D80" s="3" t="inlineStr">
        <is>
          <t>プレスキット 1</t>
        </is>
      </c>
      <c r="E80" s="11" t="n">
        <v>15680</v>
      </c>
      <c r="F80" s="11" t="n">
        <v>17248</v>
      </c>
      <c r="G80" s="3" t="inlineStr">
        <is>
          <t>広告代理店A</t>
        </is>
      </c>
      <c r="H80" s="3" t="inlineStr">
        <is>
          <t>生活スタイル</t>
        </is>
      </c>
      <c r="I80" s="9" t="n">
        <v>46068</v>
      </c>
      <c r="J80" s="3" t="inlineStr">
        <is>
          <t>予備あり</t>
        </is>
      </c>
      <c r="K80" s="8" t="b">
        <v>0</v>
      </c>
      <c r="L80" s="9" t="n"/>
    </row>
    <row r="81">
      <c r="A81" s="8" t="n">
        <v>80</v>
      </c>
      <c r="B81" s="8" t="n">
        <v>40</v>
      </c>
      <c r="C81" s="3" t="inlineStr">
        <is>
          <t>PRD-0040-2</t>
        </is>
      </c>
      <c r="D81" s="3" t="inlineStr">
        <is>
          <t>販促POP 2</t>
        </is>
      </c>
      <c r="E81" s="11" t="n">
        <v>16201</v>
      </c>
      <c r="F81" s="11" t="n">
        <v>17821</v>
      </c>
      <c r="G81" s="3" t="inlineStr">
        <is>
          <t>広告代理店B</t>
        </is>
      </c>
      <c r="H81" s="3" t="inlineStr">
        <is>
          <t>カルチャー通信</t>
        </is>
      </c>
      <c r="I81" s="9" t="n">
        <v>46067</v>
      </c>
      <c r="J81" s="3" t="inlineStr">
        <is>
          <t>急ぎ対応</t>
        </is>
      </c>
      <c r="K81" s="8" t="b">
        <v>1</v>
      </c>
      <c r="L81" s="9" t="n">
        <v>46114</v>
      </c>
    </row>
    <row r="82">
      <c r="A82" s="8" t="n">
        <v>81</v>
      </c>
      <c r="B82" s="8" t="n">
        <v>41</v>
      </c>
      <c r="C82" s="3" t="inlineStr">
        <is>
          <t>PRD-0041-1</t>
        </is>
      </c>
      <c r="D82" s="3" t="inlineStr">
        <is>
          <t>販促POP 1</t>
        </is>
      </c>
      <c r="E82" s="11" t="n">
        <v>15997</v>
      </c>
      <c r="F82" s="11" t="n">
        <v>17597</v>
      </c>
      <c r="G82" s="3" t="inlineStr">
        <is>
          <t>広告代理店B</t>
        </is>
      </c>
      <c r="H82" s="3" t="inlineStr">
        <is>
          <t>カルチャー通信</t>
        </is>
      </c>
      <c r="I82" s="9" t="n">
        <v>46069</v>
      </c>
      <c r="J82" s="3" t="inlineStr">
        <is>
          <t>急ぎ対応</t>
        </is>
      </c>
      <c r="K82" s="8" t="b">
        <v>1</v>
      </c>
      <c r="L82" s="9" t="n">
        <v>46118</v>
      </c>
    </row>
    <row r="83">
      <c r="A83" s="8" t="n">
        <v>82</v>
      </c>
      <c r="B83" s="8" t="n">
        <v>41</v>
      </c>
      <c r="C83" s="3" t="inlineStr">
        <is>
          <t>PRD-0041-2</t>
        </is>
      </c>
      <c r="D83" s="3" t="inlineStr">
        <is>
          <t>取材資料 2</t>
        </is>
      </c>
      <c r="E83" s="11" t="n">
        <v>16518</v>
      </c>
      <c r="F83" s="11" t="n">
        <v>18170</v>
      </c>
      <c r="G83" s="3" t="inlineStr">
        <is>
          <t>編集部</t>
        </is>
      </c>
      <c r="H83" s="3" t="inlineStr">
        <is>
          <t>週刊PRESS</t>
        </is>
      </c>
      <c r="I83" s="9" t="n">
        <v>46068</v>
      </c>
      <c r="J83" s="3" t="inlineStr">
        <is>
          <t>要返却</t>
        </is>
      </c>
      <c r="K83" s="8" t="b">
        <v>1</v>
      </c>
      <c r="L83" s="9" t="n">
        <v>46117</v>
      </c>
    </row>
    <row r="84">
      <c r="A84" s="8" t="n">
        <v>83</v>
      </c>
      <c r="B84" s="8" t="n">
        <v>41</v>
      </c>
      <c r="C84" s="3" t="inlineStr">
        <is>
          <t>PRD-0041-3</t>
        </is>
      </c>
      <c r="D84" s="3" t="inlineStr">
        <is>
          <t>サンプル冊子 3</t>
        </is>
      </c>
      <c r="E84" s="11" t="n">
        <v>17039</v>
      </c>
      <c r="F84" s="11" t="n">
        <v>18743</v>
      </c>
      <c r="G84" s="3" t="inlineStr">
        <is>
          <t>制作部</t>
        </is>
      </c>
      <c r="H84" s="3" t="inlineStr">
        <is>
          <t>月刊メディア</t>
        </is>
      </c>
      <c r="I84" s="9" t="n">
        <v>46067</v>
      </c>
      <c r="J84" s="3" t="inlineStr">
        <is>
          <t>先方確認済み</t>
        </is>
      </c>
      <c r="K84" s="8" t="b">
        <v>1</v>
      </c>
      <c r="L84" s="9" t="n">
        <v>46116</v>
      </c>
    </row>
    <row r="85">
      <c r="A85" s="8" t="n">
        <v>84</v>
      </c>
      <c r="B85" s="8" t="n">
        <v>42</v>
      </c>
      <c r="C85" s="3" t="inlineStr">
        <is>
          <t>PRD-0042-1</t>
        </is>
      </c>
      <c r="D85" s="3" t="inlineStr">
        <is>
          <t>取材資料 1</t>
        </is>
      </c>
      <c r="E85" s="11" t="n">
        <v>16314</v>
      </c>
      <c r="F85" s="11" t="n">
        <v>17945</v>
      </c>
      <c r="G85" s="3" t="inlineStr">
        <is>
          <t>編集部</t>
        </is>
      </c>
      <c r="H85" s="3" t="inlineStr">
        <is>
          <t>週刊PRESS</t>
        </is>
      </c>
      <c r="I85" s="9" t="n">
        <v>46070</v>
      </c>
      <c r="J85" s="3" t="inlineStr">
        <is>
          <t>要返却</t>
        </is>
      </c>
      <c r="K85" s="8" t="b">
        <v>1</v>
      </c>
      <c r="L85" s="9" t="n">
        <v>46121</v>
      </c>
    </row>
    <row r="86">
      <c r="A86" s="8" t="n">
        <v>85</v>
      </c>
      <c r="B86" s="8" t="n">
        <v>43</v>
      </c>
      <c r="C86" s="3" t="inlineStr">
        <is>
          <t>PRD-0043-1</t>
        </is>
      </c>
      <c r="D86" s="3" t="inlineStr">
        <is>
          <t>サンプル冊子 1</t>
        </is>
      </c>
      <c r="E86" s="11" t="n">
        <v>16631</v>
      </c>
      <c r="F86" s="11" t="n">
        <v>18294</v>
      </c>
      <c r="G86" s="3" t="inlineStr">
        <is>
          <t>制作部</t>
        </is>
      </c>
      <c r="H86" s="3" t="inlineStr">
        <is>
          <t>月刊メディア</t>
        </is>
      </c>
      <c r="I86" s="9" t="n">
        <v>46071</v>
      </c>
      <c r="J86" s="3" t="inlineStr">
        <is>
          <t>先方確認済み</t>
        </is>
      </c>
      <c r="K86" s="8" t="b">
        <v>1</v>
      </c>
      <c r="L86" s="9" t="n">
        <v>46124</v>
      </c>
    </row>
    <row r="87">
      <c r="A87" s="8" t="n">
        <v>86</v>
      </c>
      <c r="B87" s="8" t="n">
        <v>43</v>
      </c>
      <c r="C87" s="3" t="inlineStr">
        <is>
          <t>PRD-0043-2</t>
        </is>
      </c>
      <c r="D87" s="3" t="inlineStr">
        <is>
          <t>広報写真 2</t>
        </is>
      </c>
      <c r="E87" s="11" t="n">
        <v>17152</v>
      </c>
      <c r="F87" s="11" t="n">
        <v>18867</v>
      </c>
      <c r="G87" s="3" t="inlineStr">
        <is>
          <t>宣伝課</t>
        </is>
      </c>
      <c r="H87" s="3" t="inlineStr">
        <is>
          <t>ニュースWave</t>
        </is>
      </c>
      <c r="I87" s="9" t="n">
        <v>46070</v>
      </c>
      <c r="J87" s="3" t="inlineStr">
        <is>
          <t>再送不可</t>
        </is>
      </c>
      <c r="K87" s="8" t="b">
        <v>0</v>
      </c>
      <c r="L87" s="9" t="n"/>
    </row>
    <row r="88">
      <c r="A88" s="8" t="n">
        <v>87</v>
      </c>
      <c r="B88" s="8" t="n">
        <v>44</v>
      </c>
      <c r="C88" s="3" t="inlineStr">
        <is>
          <t>PRD-0044-1</t>
        </is>
      </c>
      <c r="D88" s="3" t="inlineStr">
        <is>
          <t>広報写真 1</t>
        </is>
      </c>
      <c r="E88" s="11" t="n">
        <v>16948</v>
      </c>
      <c r="F88" s="11" t="n">
        <v>18643</v>
      </c>
      <c r="G88" s="3" t="inlineStr">
        <is>
          <t>宣伝課</t>
        </is>
      </c>
      <c r="H88" s="3" t="inlineStr">
        <is>
          <t>ニュースWave</t>
        </is>
      </c>
      <c r="I88" s="9" t="n">
        <v>46072</v>
      </c>
      <c r="J88" s="3" t="inlineStr">
        <is>
          <t>再送不可</t>
        </is>
      </c>
      <c r="K88" s="8" t="b">
        <v>0</v>
      </c>
      <c r="L88" s="9" t="n"/>
    </row>
    <row r="89">
      <c r="A89" s="8" t="n">
        <v>88</v>
      </c>
      <c r="B89" s="8" t="n">
        <v>44</v>
      </c>
      <c r="C89" s="3" t="inlineStr">
        <is>
          <t>PRD-0044-2</t>
        </is>
      </c>
      <c r="D89" s="3" t="inlineStr">
        <is>
          <t>掲載誌 2</t>
        </is>
      </c>
      <c r="E89" s="11" t="n">
        <v>17469</v>
      </c>
      <c r="F89" s="11" t="n">
        <v>19216</v>
      </c>
      <c r="G89" s="3" t="inlineStr">
        <is>
          <t>営業部</t>
        </is>
      </c>
      <c r="H89" s="3" t="inlineStr">
        <is>
          <t>Biz Journal</t>
        </is>
      </c>
      <c r="I89" s="9" t="n">
        <v>46116</v>
      </c>
      <c r="J89" s="3" t="inlineStr">
        <is>
          <t>折れ注意</t>
        </is>
      </c>
      <c r="K89" s="8" t="b">
        <v>1</v>
      </c>
      <c r="L89" s="9" t="n">
        <v>46126</v>
      </c>
    </row>
    <row r="90">
      <c r="A90" s="8" t="n">
        <v>89</v>
      </c>
      <c r="B90" s="8" t="n">
        <v>44</v>
      </c>
      <c r="C90" s="3" t="inlineStr">
        <is>
          <t>PRD-0044-3</t>
        </is>
      </c>
      <c r="D90" s="3" t="inlineStr">
        <is>
          <t>校正紙 3</t>
        </is>
      </c>
      <c r="E90" s="11" t="n">
        <v>17990</v>
      </c>
      <c r="F90" s="11" t="n">
        <v>19789</v>
      </c>
      <c r="G90" s="3" t="inlineStr">
        <is>
          <t>広告代理店A</t>
        </is>
      </c>
      <c r="H90" s="3" t="inlineStr">
        <is>
          <t>Tech Line</t>
        </is>
      </c>
      <c r="I90" s="9" t="n">
        <v>46115</v>
      </c>
      <c r="J90" s="3" t="inlineStr">
        <is>
          <t>機密資料を含む</t>
        </is>
      </c>
      <c r="K90" s="8" t="b">
        <v>1</v>
      </c>
      <c r="L90" s="9" t="n">
        <v>46125</v>
      </c>
    </row>
    <row r="91">
      <c r="A91" s="8" t="n">
        <v>90</v>
      </c>
      <c r="B91" s="8" t="n">
        <v>45</v>
      </c>
      <c r="C91" s="3" t="inlineStr">
        <is>
          <t>PRD-0045-1</t>
        </is>
      </c>
      <c r="D91" s="3" t="inlineStr">
        <is>
          <t>掲載誌 1</t>
        </is>
      </c>
      <c r="E91" s="11" t="n">
        <v>17265</v>
      </c>
      <c r="F91" s="11" t="n">
        <v>18992</v>
      </c>
      <c r="G91" s="3" t="inlineStr">
        <is>
          <t>営業部</t>
        </is>
      </c>
      <c r="H91" s="3" t="inlineStr">
        <is>
          <t>Biz Journal</t>
        </is>
      </c>
      <c r="I91" s="9" t="n">
        <v>46118</v>
      </c>
      <c r="J91" s="3" t="inlineStr">
        <is>
          <t>折れ注意</t>
        </is>
      </c>
      <c r="K91" s="8" t="b">
        <v>1</v>
      </c>
      <c r="L91" s="9" t="n">
        <v>46130</v>
      </c>
    </row>
    <row r="92">
      <c r="A92" s="8" t="n">
        <v>91</v>
      </c>
      <c r="B92" s="8" t="n">
        <v>46</v>
      </c>
      <c r="C92" s="3" t="inlineStr">
        <is>
          <t>PRD-0046-1</t>
        </is>
      </c>
      <c r="D92" s="3" t="inlineStr">
        <is>
          <t>校正紙 1</t>
        </is>
      </c>
      <c r="E92" s="11" t="n">
        <v>17582</v>
      </c>
      <c r="F92" s="11" t="n">
        <v>19340</v>
      </c>
      <c r="G92" s="3" t="inlineStr">
        <is>
          <t>広告代理店A</t>
        </is>
      </c>
      <c r="H92" s="3" t="inlineStr">
        <is>
          <t>Tech Line</t>
        </is>
      </c>
      <c r="I92" s="9" t="n">
        <v>46119</v>
      </c>
      <c r="J92" s="3" t="inlineStr">
        <is>
          <t>機密資料を含む</t>
        </is>
      </c>
      <c r="K92" s="8" t="b">
        <v>1</v>
      </c>
      <c r="L92" s="9" t="n">
        <v>46133</v>
      </c>
    </row>
    <row r="93">
      <c r="A93" s="8" t="n">
        <v>92</v>
      </c>
      <c r="B93" s="8" t="n">
        <v>46</v>
      </c>
      <c r="C93" s="3" t="inlineStr">
        <is>
          <t>PRD-0046-2</t>
        </is>
      </c>
      <c r="D93" s="3" t="inlineStr">
        <is>
          <t>ノベルティ 2</t>
        </is>
      </c>
      <c r="E93" s="11" t="n">
        <v>18103</v>
      </c>
      <c r="F93" s="11" t="n">
        <v>19913</v>
      </c>
      <c r="G93" s="3" t="inlineStr">
        <is>
          <t>広告代理店B</t>
        </is>
      </c>
      <c r="H93" s="3" t="inlineStr">
        <is>
          <t>生活スタイル</t>
        </is>
      </c>
      <c r="I93" s="9" t="n">
        <v>46118</v>
      </c>
      <c r="J93" s="3" t="inlineStr">
        <is>
          <t>予備あり</t>
        </is>
      </c>
      <c r="K93" s="8" t="b">
        <v>1</v>
      </c>
      <c r="L93" s="9" t="n">
        <v>46132</v>
      </c>
    </row>
    <row r="94">
      <c r="A94" s="8" t="n">
        <v>93</v>
      </c>
      <c r="B94" s="8" t="n">
        <v>47</v>
      </c>
      <c r="C94" s="3" t="inlineStr">
        <is>
          <t>PRD-0047-1</t>
        </is>
      </c>
      <c r="D94" s="3" t="inlineStr">
        <is>
          <t>ノベルティ 1</t>
        </is>
      </c>
      <c r="E94" s="11" t="n">
        <v>17899</v>
      </c>
      <c r="F94" s="11" t="n">
        <v>19689</v>
      </c>
      <c r="G94" s="3" t="inlineStr">
        <is>
          <t>広告代理店B</t>
        </is>
      </c>
      <c r="H94" s="3" t="inlineStr">
        <is>
          <t>生活スタイル</t>
        </is>
      </c>
      <c r="I94" s="9" t="n">
        <v>46120</v>
      </c>
      <c r="J94" s="3" t="inlineStr">
        <is>
          <t>予備あり</t>
        </is>
      </c>
      <c r="K94" s="8" t="b">
        <v>1</v>
      </c>
      <c r="L94" s="9" t="n">
        <v>46136</v>
      </c>
    </row>
    <row r="95">
      <c r="A95" s="8" t="n">
        <v>94</v>
      </c>
      <c r="B95" s="8" t="n">
        <v>47</v>
      </c>
      <c r="C95" s="3" t="inlineStr">
        <is>
          <t>PRD-0047-2</t>
        </is>
      </c>
      <c r="D95" s="3" t="inlineStr">
        <is>
          <t>プレスキット 2</t>
        </is>
      </c>
      <c r="E95" s="11" t="n">
        <v>18420</v>
      </c>
      <c r="F95" s="11" t="n">
        <v>20262</v>
      </c>
      <c r="G95" s="3" t="inlineStr">
        <is>
          <t>編集部</t>
        </is>
      </c>
      <c r="H95" s="3" t="inlineStr">
        <is>
          <t>カルチャー通信</t>
        </is>
      </c>
      <c r="I95" s="9" t="n">
        <v>46119</v>
      </c>
      <c r="J95" s="3" t="inlineStr">
        <is>
          <t>急ぎ対応</t>
        </is>
      </c>
      <c r="K95" s="8" t="b">
        <v>0</v>
      </c>
      <c r="L95" s="9" t="n"/>
    </row>
    <row r="96">
      <c r="A96" s="8" t="n">
        <v>95</v>
      </c>
      <c r="B96" s="8" t="n">
        <v>47</v>
      </c>
      <c r="C96" s="3" t="inlineStr">
        <is>
          <t>PRD-0047-3</t>
        </is>
      </c>
      <c r="D96" s="3" t="inlineStr">
        <is>
          <t>販促POP 3</t>
        </is>
      </c>
      <c r="E96" s="11" t="n">
        <v>18941</v>
      </c>
      <c r="F96" s="11" t="n">
        <v>20835</v>
      </c>
      <c r="G96" s="3" t="inlineStr">
        <is>
          <t>制作部</t>
        </is>
      </c>
      <c r="H96" s="3" t="inlineStr">
        <is>
          <t>週刊PRESS</t>
        </is>
      </c>
      <c r="I96" s="9" t="n">
        <v>46118</v>
      </c>
      <c r="J96" s="3" t="inlineStr">
        <is>
          <t>要返却</t>
        </is>
      </c>
      <c r="K96" s="8" t="b">
        <v>1</v>
      </c>
      <c r="L96" s="9" t="n">
        <v>46134</v>
      </c>
    </row>
    <row r="97">
      <c r="A97" s="8" t="n">
        <v>96</v>
      </c>
      <c r="B97" s="8" t="n">
        <v>48</v>
      </c>
      <c r="C97" s="3" t="inlineStr">
        <is>
          <t>PRD-0048-1</t>
        </is>
      </c>
      <c r="D97" s="3" t="inlineStr">
        <is>
          <t>プレスキット 1</t>
        </is>
      </c>
      <c r="E97" s="11" t="n">
        <v>18216</v>
      </c>
      <c r="F97" s="11" t="n">
        <v>20038</v>
      </c>
      <c r="G97" s="3" t="inlineStr">
        <is>
          <t>編集部</t>
        </is>
      </c>
      <c r="H97" s="3" t="inlineStr">
        <is>
          <t>カルチャー通信</t>
        </is>
      </c>
      <c r="I97" s="9" t="n">
        <v>46121</v>
      </c>
      <c r="J97" s="3" t="inlineStr">
        <is>
          <t>急ぎ対応</t>
        </is>
      </c>
      <c r="K97" s="8" t="b">
        <v>0</v>
      </c>
      <c r="L97" s="9" t="n"/>
    </row>
    <row r="98">
      <c r="A98" s="8" t="n">
        <v>97</v>
      </c>
      <c r="B98" s="8" t="n">
        <v>49</v>
      </c>
      <c r="C98" s="3" t="inlineStr">
        <is>
          <t>PRD-0049-1</t>
        </is>
      </c>
      <c r="D98" s="3" t="inlineStr">
        <is>
          <t>販促POP 1</t>
        </is>
      </c>
      <c r="E98" s="11" t="n">
        <v>18533</v>
      </c>
      <c r="F98" s="11" t="n">
        <v>20386</v>
      </c>
      <c r="G98" s="3" t="inlineStr">
        <is>
          <t>制作部</t>
        </is>
      </c>
      <c r="H98" s="3" t="inlineStr">
        <is>
          <t>週刊PRESS</t>
        </is>
      </c>
      <c r="I98" s="9" t="n">
        <v>46122</v>
      </c>
      <c r="J98" s="3" t="inlineStr">
        <is>
          <t>要返却</t>
        </is>
      </c>
      <c r="K98" s="8" t="b">
        <v>1</v>
      </c>
      <c r="L98" s="9" t="n">
        <v>46134</v>
      </c>
    </row>
    <row r="99">
      <c r="A99" s="8" t="n">
        <v>98</v>
      </c>
      <c r="B99" s="8" t="n">
        <v>49</v>
      </c>
      <c r="C99" s="3" t="inlineStr">
        <is>
          <t>PRD-0049-2</t>
        </is>
      </c>
      <c r="D99" s="3" t="inlineStr">
        <is>
          <t>取材資料 2</t>
        </is>
      </c>
      <c r="E99" s="11" t="n">
        <v>19054</v>
      </c>
      <c r="F99" s="11" t="n">
        <v>20959</v>
      </c>
      <c r="G99" s="3" t="inlineStr">
        <is>
          <t>宣伝課</t>
        </is>
      </c>
      <c r="H99" s="3" t="inlineStr">
        <is>
          <t>月刊メディア</t>
        </is>
      </c>
      <c r="I99" s="9" t="n">
        <v>46121</v>
      </c>
      <c r="J99" s="3" t="inlineStr">
        <is>
          <t>先方確認済み</t>
        </is>
      </c>
      <c r="K99" s="8" t="b">
        <v>1</v>
      </c>
      <c r="L99" s="9" t="n">
        <v>46133</v>
      </c>
    </row>
    <row r="100">
      <c r="A100" s="8" t="n">
        <v>99</v>
      </c>
      <c r="B100" s="8" t="n">
        <v>50</v>
      </c>
      <c r="C100" s="3" t="inlineStr">
        <is>
          <t>PRD-0050-1</t>
        </is>
      </c>
      <c r="D100" s="3" t="inlineStr">
        <is>
          <t>取材資料 1</t>
        </is>
      </c>
      <c r="E100" s="11" t="n">
        <v>18850</v>
      </c>
      <c r="F100" s="11" t="n">
        <v>20735</v>
      </c>
      <c r="G100" s="3" t="inlineStr">
        <is>
          <t>宣伝課</t>
        </is>
      </c>
      <c r="H100" s="3" t="inlineStr">
        <is>
          <t>月刊メディア</t>
        </is>
      </c>
      <c r="I100" s="9" t="n">
        <v>46123</v>
      </c>
      <c r="J100" s="3" t="inlineStr">
        <is>
          <t>先方確認済み</t>
        </is>
      </c>
      <c r="K100" s="8" t="b">
        <v>1</v>
      </c>
      <c r="L100" s="9" t="n">
        <v>46137</v>
      </c>
    </row>
    <row r="101">
      <c r="A101" s="8" t="n">
        <v>100</v>
      </c>
      <c r="B101" s="8" t="n">
        <v>50</v>
      </c>
      <c r="C101" s="3" t="inlineStr">
        <is>
          <t>PRD-0050-2</t>
        </is>
      </c>
      <c r="D101" s="3" t="inlineStr">
        <is>
          <t>サンプル冊子 2</t>
        </is>
      </c>
      <c r="E101" s="11" t="n">
        <v>19371</v>
      </c>
      <c r="F101" s="11" t="n">
        <v>21308</v>
      </c>
      <c r="G101" s="3" t="inlineStr">
        <is>
          <t>営業部</t>
        </is>
      </c>
      <c r="H101" s="3" t="inlineStr">
        <is>
          <t>ニュースWave</t>
        </is>
      </c>
      <c r="I101" s="9" t="n">
        <v>46122</v>
      </c>
      <c r="J101" s="3" t="inlineStr">
        <is>
          <t>再送不可</t>
        </is>
      </c>
      <c r="K101" s="8" t="b">
        <v>1</v>
      </c>
      <c r="L101" s="9" t="n">
        <v>46136</v>
      </c>
    </row>
    <row r="102">
      <c r="A102" s="8" t="n">
        <v>101</v>
      </c>
      <c r="B102" s="8" t="n">
        <v>50</v>
      </c>
      <c r="C102" s="3" t="inlineStr">
        <is>
          <t>PRD-0050-3</t>
        </is>
      </c>
      <c r="D102" s="3" t="inlineStr">
        <is>
          <t>広報写真 3</t>
        </is>
      </c>
      <c r="E102" s="11" t="n">
        <v>19892</v>
      </c>
      <c r="F102" s="11" t="n">
        <v>21881</v>
      </c>
      <c r="G102" s="3" t="inlineStr">
        <is>
          <t>広告代理店A</t>
        </is>
      </c>
      <c r="H102" s="3" t="inlineStr">
        <is>
          <t>Biz Journal</t>
        </is>
      </c>
      <c r="I102" s="9" t="n">
        <v>46121</v>
      </c>
      <c r="J102" s="3" t="inlineStr">
        <is>
          <t>折れ注意</t>
        </is>
      </c>
      <c r="K102" s="8" t="b">
        <v>0</v>
      </c>
      <c r="L102" s="9" t="n"/>
    </row>
    <row r="103">
      <c r="A103" s="8" t="n">
        <v>102</v>
      </c>
      <c r="B103" s="8" t="n">
        <v>51</v>
      </c>
      <c r="C103" s="3" t="inlineStr">
        <is>
          <t>PRD-0051-1</t>
        </is>
      </c>
      <c r="D103" s="3" t="inlineStr">
        <is>
          <t>サンプル冊子 1</t>
        </is>
      </c>
      <c r="E103" s="11" t="n">
        <v>19167</v>
      </c>
      <c r="F103" s="11" t="n">
        <v>21084</v>
      </c>
      <c r="G103" s="3" t="inlineStr">
        <is>
          <t>営業部</t>
        </is>
      </c>
      <c r="H103" s="3" t="inlineStr">
        <is>
          <t>ニュースWave</t>
        </is>
      </c>
      <c r="I103" s="9" t="n">
        <v>46124</v>
      </c>
      <c r="J103" s="3" t="inlineStr">
        <is>
          <t>再送不可</t>
        </is>
      </c>
      <c r="K103" s="8" t="b">
        <v>1</v>
      </c>
      <c r="L103" s="9" t="n">
        <v>46140</v>
      </c>
    </row>
    <row r="104">
      <c r="A104" s="8" t="n">
        <v>103</v>
      </c>
      <c r="B104" s="8" t="n">
        <v>52</v>
      </c>
      <c r="C104" s="3" t="inlineStr">
        <is>
          <t>PRD-0052-1</t>
        </is>
      </c>
      <c r="D104" s="3" t="inlineStr">
        <is>
          <t>広報写真 1</t>
        </is>
      </c>
      <c r="E104" s="11" t="n">
        <v>19484</v>
      </c>
      <c r="F104" s="11" t="n">
        <v>21432</v>
      </c>
      <c r="G104" s="3" t="inlineStr">
        <is>
          <t>広告代理店A</t>
        </is>
      </c>
      <c r="H104" s="3" t="inlineStr">
        <is>
          <t>Biz Journal</t>
        </is>
      </c>
      <c r="I104" s="9" t="n">
        <v>46125</v>
      </c>
      <c r="J104" s="3" t="inlineStr">
        <is>
          <t>折れ注意</t>
        </is>
      </c>
      <c r="K104" s="8" t="b">
        <v>0</v>
      </c>
      <c r="L104" s="9" t="n"/>
    </row>
    <row r="105">
      <c r="A105" s="8" t="n">
        <v>104</v>
      </c>
      <c r="B105" s="8" t="n">
        <v>52</v>
      </c>
      <c r="C105" s="3" t="inlineStr">
        <is>
          <t>PRD-0052-2</t>
        </is>
      </c>
      <c r="D105" s="3" t="inlineStr">
        <is>
          <t>掲載誌 2</t>
        </is>
      </c>
      <c r="E105" s="11" t="n">
        <v>20005</v>
      </c>
      <c r="F105" s="11" t="n">
        <v>22006</v>
      </c>
      <c r="G105" s="3" t="inlineStr">
        <is>
          <t>広告代理店B</t>
        </is>
      </c>
      <c r="H105" s="3" t="inlineStr">
        <is>
          <t>Tech Line</t>
        </is>
      </c>
      <c r="I105" s="9" t="n">
        <v>46124</v>
      </c>
      <c r="J105" s="3" t="inlineStr">
        <is>
          <t>機密資料を含む</t>
        </is>
      </c>
      <c r="K105" s="8" t="b">
        <v>1</v>
      </c>
      <c r="L105" s="9" t="n">
        <v>46142</v>
      </c>
    </row>
    <row r="106">
      <c r="A106" s="8" t="n">
        <v>105</v>
      </c>
      <c r="B106" s="8" t="n">
        <v>53</v>
      </c>
      <c r="C106" s="3" t="inlineStr">
        <is>
          <t>PRD-0053-1</t>
        </is>
      </c>
      <c r="D106" s="3" t="inlineStr">
        <is>
          <t>掲載誌 1</t>
        </is>
      </c>
      <c r="E106" s="11" t="n">
        <v>19801</v>
      </c>
      <c r="F106" s="11" t="n">
        <v>21781</v>
      </c>
      <c r="G106" s="3" t="inlineStr">
        <is>
          <t>広告代理店B</t>
        </is>
      </c>
      <c r="H106" s="3" t="inlineStr">
        <is>
          <t>Tech Line</t>
        </is>
      </c>
      <c r="I106" s="9" t="n">
        <v>46126</v>
      </c>
      <c r="J106" s="3" t="inlineStr">
        <is>
          <t>機密資料を含む</t>
        </is>
      </c>
      <c r="K106" s="8" t="b">
        <v>1</v>
      </c>
      <c r="L106" s="9" t="n">
        <v>46146</v>
      </c>
    </row>
    <row r="107">
      <c r="A107" s="8" t="n">
        <v>106</v>
      </c>
      <c r="B107" s="8" t="n">
        <v>53</v>
      </c>
      <c r="C107" s="3" t="inlineStr">
        <is>
          <t>PRD-0053-2</t>
        </is>
      </c>
      <c r="D107" s="3" t="inlineStr">
        <is>
          <t>校正紙 2</t>
        </is>
      </c>
      <c r="E107" s="11" t="n">
        <v>20322</v>
      </c>
      <c r="F107" s="11" t="n">
        <v>22354</v>
      </c>
      <c r="G107" s="3" t="inlineStr">
        <is>
          <t>編集部</t>
        </is>
      </c>
      <c r="H107" s="3" t="inlineStr">
        <is>
          <t>生活スタイル</t>
        </is>
      </c>
      <c r="I107" s="9" t="n">
        <v>46125</v>
      </c>
      <c r="J107" s="3" t="inlineStr">
        <is>
          <t>予備あり</t>
        </is>
      </c>
      <c r="K107" s="8" t="b">
        <v>1</v>
      </c>
      <c r="L107" s="9" t="n">
        <v>46145</v>
      </c>
    </row>
    <row r="108">
      <c r="A108" s="8" t="n">
        <v>107</v>
      </c>
      <c r="B108" s="8" t="n">
        <v>53</v>
      </c>
      <c r="C108" s="3" t="inlineStr">
        <is>
          <t>PRD-0053-3</t>
        </is>
      </c>
      <c r="D108" s="3" t="inlineStr">
        <is>
          <t>ノベルティ 3</t>
        </is>
      </c>
      <c r="E108" s="11" t="n">
        <v>20843</v>
      </c>
      <c r="F108" s="11" t="n">
        <v>22927</v>
      </c>
      <c r="G108" s="3" t="inlineStr">
        <is>
          <t>制作部</t>
        </is>
      </c>
      <c r="H108" s="3" t="inlineStr">
        <is>
          <t>カルチャー通信</t>
        </is>
      </c>
      <c r="I108" s="9" t="n">
        <v>46124</v>
      </c>
      <c r="J108" s="3" t="inlineStr">
        <is>
          <t>急ぎ対応</t>
        </is>
      </c>
      <c r="K108" s="8" t="b">
        <v>1</v>
      </c>
      <c r="L108" s="9" t="n">
        <v>46144</v>
      </c>
    </row>
    <row r="109">
      <c r="A109" s="8" t="n">
        <v>108</v>
      </c>
      <c r="B109" s="8" t="n">
        <v>54</v>
      </c>
      <c r="C109" s="3" t="inlineStr">
        <is>
          <t>PRD-0054-1</t>
        </is>
      </c>
      <c r="D109" s="3" t="inlineStr">
        <is>
          <t>校正紙 1</t>
        </is>
      </c>
      <c r="E109" s="11" t="n">
        <v>20118</v>
      </c>
      <c r="F109" s="11" t="n">
        <v>22130</v>
      </c>
      <c r="G109" s="3" t="inlineStr">
        <is>
          <t>編集部</t>
        </is>
      </c>
      <c r="H109" s="3" t="inlineStr">
        <is>
          <t>生活スタイル</t>
        </is>
      </c>
      <c r="I109" s="9" t="n">
        <v>46127</v>
      </c>
      <c r="J109" s="3" t="inlineStr">
        <is>
          <t>予備あり</t>
        </is>
      </c>
      <c r="K109" s="8" t="b">
        <v>1</v>
      </c>
      <c r="L109" s="9" t="n">
        <v>46149</v>
      </c>
    </row>
    <row r="110">
      <c r="A110" s="8" t="n">
        <v>109</v>
      </c>
      <c r="B110" s="8" t="n">
        <v>55</v>
      </c>
      <c r="C110" s="3" t="inlineStr">
        <is>
          <t>PRD-0055-1</t>
        </is>
      </c>
      <c r="D110" s="3" t="inlineStr">
        <is>
          <t>ノベルティ 1</t>
        </is>
      </c>
      <c r="E110" s="11" t="n">
        <v>20435</v>
      </c>
      <c r="F110" s="11" t="n">
        <v>22478</v>
      </c>
      <c r="G110" s="3" t="inlineStr">
        <is>
          <t>制作部</t>
        </is>
      </c>
      <c r="H110" s="3" t="inlineStr">
        <is>
          <t>カルチャー通信</t>
        </is>
      </c>
      <c r="I110" s="9" t="n">
        <v>46128</v>
      </c>
      <c r="J110" s="3" t="inlineStr">
        <is>
          <t>急ぎ対応</t>
        </is>
      </c>
      <c r="K110" s="8" t="b">
        <v>1</v>
      </c>
      <c r="L110" s="9" t="n">
        <v>46152</v>
      </c>
    </row>
    <row r="111">
      <c r="A111" s="8" t="n">
        <v>110</v>
      </c>
      <c r="B111" s="8" t="n">
        <v>55</v>
      </c>
      <c r="C111" s="3" t="inlineStr">
        <is>
          <t>PRD-0055-2</t>
        </is>
      </c>
      <c r="D111" s="3" t="inlineStr">
        <is>
          <t>プレスキット 2</t>
        </is>
      </c>
      <c r="E111" s="11" t="n">
        <v>20956</v>
      </c>
      <c r="F111" s="11" t="n">
        <v>23052</v>
      </c>
      <c r="G111" s="3" t="inlineStr">
        <is>
          <t>宣伝課</t>
        </is>
      </c>
      <c r="H111" s="3" t="inlineStr">
        <is>
          <t>週刊PRESS</t>
        </is>
      </c>
      <c r="I111" s="9" t="n">
        <v>46127</v>
      </c>
      <c r="J111" s="3" t="inlineStr">
        <is>
          <t>要返却</t>
        </is>
      </c>
      <c r="K111" s="8" t="b">
        <v>0</v>
      </c>
      <c r="L111" s="9" t="n"/>
    </row>
    <row r="112">
      <c r="A112" s="8" t="n">
        <v>111</v>
      </c>
      <c r="B112" s="8" t="n">
        <v>56</v>
      </c>
      <c r="C112" s="3" t="inlineStr">
        <is>
          <t>PRD-0056-1</t>
        </is>
      </c>
      <c r="D112" s="3" t="inlineStr">
        <is>
          <t>プレスキット 1</t>
        </is>
      </c>
      <c r="E112" s="11" t="n">
        <v>20752</v>
      </c>
      <c r="F112" s="11" t="n">
        <v>22827</v>
      </c>
      <c r="G112" s="3" t="inlineStr">
        <is>
          <t>宣伝課</t>
        </is>
      </c>
      <c r="H112" s="3" t="inlineStr">
        <is>
          <t>週刊PRESS</t>
        </is>
      </c>
      <c r="I112" s="9" t="n">
        <v>46129</v>
      </c>
      <c r="J112" s="3" t="inlineStr">
        <is>
          <t>要返却</t>
        </is>
      </c>
      <c r="K112" s="8" t="b">
        <v>0</v>
      </c>
      <c r="L112" s="9" t="n"/>
    </row>
    <row r="113">
      <c r="A113" s="8" t="n">
        <v>112</v>
      </c>
      <c r="B113" s="8" t="n">
        <v>56</v>
      </c>
      <c r="C113" s="3" t="inlineStr">
        <is>
          <t>PRD-0056-2</t>
        </is>
      </c>
      <c r="D113" s="3" t="inlineStr">
        <is>
          <t>販促POP 2</t>
        </is>
      </c>
      <c r="E113" s="11" t="n">
        <v>3273</v>
      </c>
      <c r="F113" s="11" t="n">
        <v>3600</v>
      </c>
      <c r="G113" s="3" t="inlineStr">
        <is>
          <t>営業部</t>
        </is>
      </c>
      <c r="H113" s="3" t="inlineStr">
        <is>
          <t>月刊メディア</t>
        </is>
      </c>
      <c r="I113" s="9" t="n">
        <v>46128</v>
      </c>
      <c r="J113" s="3" t="inlineStr">
        <is>
          <t>先方確認済み</t>
        </is>
      </c>
      <c r="K113" s="8" t="b">
        <v>1</v>
      </c>
      <c r="L113" s="9" t="n">
        <v>46146</v>
      </c>
    </row>
    <row r="114">
      <c r="A114" s="8" t="n">
        <v>113</v>
      </c>
      <c r="B114" s="8" t="n">
        <v>56</v>
      </c>
      <c r="C114" s="3" t="inlineStr">
        <is>
          <t>PRD-0056-3</t>
        </is>
      </c>
      <c r="D114" s="3" t="inlineStr">
        <is>
          <t>取材資料 3</t>
        </is>
      </c>
      <c r="E114" s="11" t="n">
        <v>3794</v>
      </c>
      <c r="F114" s="11" t="n">
        <v>4173</v>
      </c>
      <c r="G114" s="3" t="inlineStr">
        <is>
          <t>広告代理店A</t>
        </is>
      </c>
      <c r="H114" s="3" t="inlineStr">
        <is>
          <t>ニュースWave</t>
        </is>
      </c>
      <c r="I114" s="9" t="n">
        <v>46127</v>
      </c>
      <c r="J114" s="3" t="inlineStr">
        <is>
          <t>再送不可</t>
        </is>
      </c>
      <c r="K114" s="8" t="b">
        <v>1</v>
      </c>
      <c r="L114" s="9" t="n">
        <v>46145</v>
      </c>
    </row>
    <row r="115">
      <c r="A115" s="8" t="n">
        <v>114</v>
      </c>
      <c r="B115" s="8" t="n">
        <v>57</v>
      </c>
      <c r="C115" s="3" t="inlineStr">
        <is>
          <t>PRD-0057-1</t>
        </is>
      </c>
      <c r="D115" s="3" t="inlineStr">
        <is>
          <t>販促POP 1</t>
        </is>
      </c>
      <c r="E115" s="11" t="n">
        <v>3069</v>
      </c>
      <c r="F115" s="11" t="n">
        <v>3376</v>
      </c>
      <c r="G115" s="3" t="inlineStr">
        <is>
          <t>営業部</t>
        </is>
      </c>
      <c r="H115" s="3" t="inlineStr">
        <is>
          <t>月刊メディア</t>
        </is>
      </c>
      <c r="I115" s="9" t="n">
        <v>46130</v>
      </c>
      <c r="J115" s="3" t="inlineStr">
        <is>
          <t>先方確認済み</t>
        </is>
      </c>
      <c r="K115" s="8" t="b">
        <v>1</v>
      </c>
      <c r="L115" s="9" t="n">
        <v>46150</v>
      </c>
    </row>
    <row r="116">
      <c r="A116" s="8" t="n">
        <v>115</v>
      </c>
      <c r="B116" s="8" t="n">
        <v>58</v>
      </c>
      <c r="C116" s="3" t="inlineStr">
        <is>
          <t>PRD-0058-1</t>
        </is>
      </c>
      <c r="D116" s="3" t="inlineStr">
        <is>
          <t>取材資料 1</t>
        </is>
      </c>
      <c r="E116" s="11" t="n">
        <v>3386</v>
      </c>
      <c r="F116" s="11" t="n">
        <v>3725</v>
      </c>
      <c r="G116" s="3" t="inlineStr">
        <is>
          <t>広告代理店A</t>
        </is>
      </c>
      <c r="H116" s="3" t="inlineStr">
        <is>
          <t>ニュースWave</t>
        </is>
      </c>
      <c r="I116" s="9" t="n">
        <v>46131</v>
      </c>
      <c r="J116" s="3" t="inlineStr">
        <is>
          <t>再送不可</t>
        </is>
      </c>
      <c r="K116" s="8" t="b">
        <v>1</v>
      </c>
      <c r="L116" s="9" t="n">
        <v>46153</v>
      </c>
    </row>
    <row r="117">
      <c r="A117" s="8" t="n">
        <v>116</v>
      </c>
      <c r="B117" s="8" t="n">
        <v>58</v>
      </c>
      <c r="C117" s="3" t="inlineStr">
        <is>
          <t>PRD-0058-2</t>
        </is>
      </c>
      <c r="D117" s="3" t="inlineStr">
        <is>
          <t>サンプル冊子 2</t>
        </is>
      </c>
      <c r="E117" s="11" t="n">
        <v>3907</v>
      </c>
      <c r="F117" s="11" t="n">
        <v>4298</v>
      </c>
      <c r="G117" s="3" t="inlineStr">
        <is>
          <t>広告代理店B</t>
        </is>
      </c>
      <c r="H117" s="3" t="inlineStr">
        <is>
          <t>Biz Journal</t>
        </is>
      </c>
      <c r="I117" s="9" t="n">
        <v>46130</v>
      </c>
      <c r="J117" s="3" t="inlineStr">
        <is>
          <t>折れ注意</t>
        </is>
      </c>
      <c r="K117" s="8" t="b">
        <v>1</v>
      </c>
      <c r="L117" s="9" t="n">
        <v>46152</v>
      </c>
    </row>
    <row r="118">
      <c r="A118" s="8" t="n">
        <v>117</v>
      </c>
      <c r="B118" s="8" t="n">
        <v>59</v>
      </c>
      <c r="C118" s="3" t="inlineStr">
        <is>
          <t>PRD-0059-1</t>
        </is>
      </c>
      <c r="D118" s="3" t="inlineStr">
        <is>
          <t>サンプル冊子 1</t>
        </is>
      </c>
      <c r="E118" s="11" t="n">
        <v>3703</v>
      </c>
      <c r="F118" s="11" t="n">
        <v>4073</v>
      </c>
      <c r="G118" s="3" t="inlineStr">
        <is>
          <t>広告代理店B</t>
        </is>
      </c>
      <c r="H118" s="3" t="inlineStr">
        <is>
          <t>Biz Journal</t>
        </is>
      </c>
      <c r="I118" s="9" t="n">
        <v>46132</v>
      </c>
      <c r="J118" s="3" t="inlineStr">
        <is>
          <t>折れ注意</t>
        </is>
      </c>
      <c r="K118" s="8" t="b">
        <v>1</v>
      </c>
      <c r="L118" s="9" t="n">
        <v>46156</v>
      </c>
    </row>
    <row r="119">
      <c r="A119" s="8" t="n">
        <v>118</v>
      </c>
      <c r="B119" s="8" t="n">
        <v>59</v>
      </c>
      <c r="C119" s="3" t="inlineStr">
        <is>
          <t>PRD-0059-2</t>
        </is>
      </c>
      <c r="D119" s="3" t="inlineStr">
        <is>
          <t>広報写真 2</t>
        </is>
      </c>
      <c r="E119" s="11" t="n">
        <v>4224</v>
      </c>
      <c r="F119" s="11" t="n">
        <v>4646</v>
      </c>
      <c r="G119" s="3" t="inlineStr">
        <is>
          <t>編集部</t>
        </is>
      </c>
      <c r="H119" s="3" t="inlineStr">
        <is>
          <t>Tech Line</t>
        </is>
      </c>
      <c r="I119" s="9" t="n">
        <v>46131</v>
      </c>
      <c r="J119" s="3" t="inlineStr">
        <is>
          <t>機密資料を含む</t>
        </is>
      </c>
      <c r="K119" s="8" t="b">
        <v>0</v>
      </c>
      <c r="L119" s="9" t="n"/>
    </row>
    <row r="120">
      <c r="A120" s="8" t="n">
        <v>119</v>
      </c>
      <c r="B120" s="8" t="n">
        <v>59</v>
      </c>
      <c r="C120" s="3" t="inlineStr">
        <is>
          <t>PRD-0059-3</t>
        </is>
      </c>
      <c r="D120" s="3" t="inlineStr">
        <is>
          <t>掲載誌 3</t>
        </is>
      </c>
      <c r="E120" s="11" t="n">
        <v>4745</v>
      </c>
      <c r="F120" s="11" t="n">
        <v>5220</v>
      </c>
      <c r="G120" s="3" t="inlineStr">
        <is>
          <t>制作部</t>
        </is>
      </c>
      <c r="H120" s="3" t="inlineStr">
        <is>
          <t>生活スタイル</t>
        </is>
      </c>
      <c r="I120" s="9" t="n">
        <v>46130</v>
      </c>
      <c r="J120" s="3" t="inlineStr">
        <is>
          <t>予備あり</t>
        </is>
      </c>
      <c r="K120" s="8" t="b">
        <v>1</v>
      </c>
      <c r="L120" s="9" t="n">
        <v>46154</v>
      </c>
    </row>
    <row r="121">
      <c r="A121" s="8" t="n">
        <v>120</v>
      </c>
      <c r="B121" s="8" t="n">
        <v>60</v>
      </c>
      <c r="C121" s="3" t="inlineStr">
        <is>
          <t>PRD-0060-1</t>
        </is>
      </c>
      <c r="D121" s="3" t="inlineStr">
        <is>
          <t>広報写真 1</t>
        </is>
      </c>
      <c r="E121" s="11" t="n">
        <v>4020</v>
      </c>
      <c r="F121" s="11" t="n">
        <v>4422</v>
      </c>
      <c r="G121" s="3" t="inlineStr">
        <is>
          <t>編集部</t>
        </is>
      </c>
      <c r="H121" s="3" t="inlineStr">
        <is>
          <t>Tech Line</t>
        </is>
      </c>
      <c r="I121" s="9" t="n">
        <v>46133</v>
      </c>
      <c r="J121" s="3" t="inlineStr">
        <is>
          <t>機密資料を含む</t>
        </is>
      </c>
      <c r="K121" s="8" t="b">
        <v>0</v>
      </c>
      <c r="L121" s="9" t="n"/>
    </row>
    <row r="122">
      <c r="A122" s="8" t="n">
        <v>121</v>
      </c>
      <c r="B122" s="8" t="n">
        <v>61</v>
      </c>
      <c r="C122" s="3" t="inlineStr">
        <is>
          <t>PRD-0061-1</t>
        </is>
      </c>
      <c r="D122" s="3" t="inlineStr">
        <is>
          <t>掲載誌 1</t>
        </is>
      </c>
      <c r="E122" s="11" t="n">
        <v>4337</v>
      </c>
      <c r="F122" s="11" t="n">
        <v>4771</v>
      </c>
      <c r="G122" s="3" t="inlineStr">
        <is>
          <t>制作部</t>
        </is>
      </c>
      <c r="H122" s="3" t="inlineStr">
        <is>
          <t>生活スタイル</t>
        </is>
      </c>
      <c r="I122" s="9" t="n">
        <v>46134</v>
      </c>
      <c r="J122" s="3" t="inlineStr">
        <is>
          <t>予備あり</t>
        </is>
      </c>
      <c r="K122" s="8" t="b">
        <v>1</v>
      </c>
      <c r="L122" s="9" t="n">
        <v>46162</v>
      </c>
    </row>
    <row r="123">
      <c r="A123" s="8" t="n">
        <v>122</v>
      </c>
      <c r="B123" s="8" t="n">
        <v>61</v>
      </c>
      <c r="C123" s="3" t="inlineStr">
        <is>
          <t>PRD-0061-2</t>
        </is>
      </c>
      <c r="D123" s="3" t="inlineStr">
        <is>
          <t>校正紙 2</t>
        </is>
      </c>
      <c r="E123" s="11" t="n">
        <v>4858</v>
      </c>
      <c r="F123" s="11" t="n">
        <v>5344</v>
      </c>
      <c r="G123" s="3" t="inlineStr">
        <is>
          <t>宣伝課</t>
        </is>
      </c>
      <c r="H123" s="3" t="inlineStr">
        <is>
          <t>カルチャー通信</t>
        </is>
      </c>
      <c r="I123" s="9" t="n">
        <v>46133</v>
      </c>
      <c r="J123" s="3" t="inlineStr">
        <is>
          <t>急ぎ対応</t>
        </is>
      </c>
      <c r="K123" s="8" t="b">
        <v>1</v>
      </c>
      <c r="L123" s="9" t="n">
        <v>46161</v>
      </c>
    </row>
    <row r="124">
      <c r="A124" s="8" t="n">
        <v>123</v>
      </c>
      <c r="B124" s="8" t="n">
        <v>62</v>
      </c>
      <c r="C124" s="3" t="inlineStr">
        <is>
          <t>PRD-0062-1</t>
        </is>
      </c>
      <c r="D124" s="3" t="inlineStr">
        <is>
          <t>校正紙 1</t>
        </is>
      </c>
      <c r="E124" s="11" t="n">
        <v>4654</v>
      </c>
      <c r="F124" s="11" t="n">
        <v>5119</v>
      </c>
      <c r="G124" s="3" t="inlineStr">
        <is>
          <t>宣伝課</t>
        </is>
      </c>
      <c r="H124" s="3" t="inlineStr">
        <is>
          <t>カルチャー通信</t>
        </is>
      </c>
      <c r="I124" s="9" t="n">
        <v>46135</v>
      </c>
      <c r="J124" s="3" t="inlineStr">
        <is>
          <t>急ぎ対応</t>
        </is>
      </c>
      <c r="K124" s="8" t="b">
        <v>1</v>
      </c>
      <c r="L124" s="9" t="n">
        <v>46165</v>
      </c>
    </row>
    <row r="125">
      <c r="A125" s="8" t="n">
        <v>124</v>
      </c>
      <c r="B125" s="8" t="n">
        <v>62</v>
      </c>
      <c r="C125" s="3" t="inlineStr">
        <is>
          <t>PRD-0062-2</t>
        </is>
      </c>
      <c r="D125" s="3" t="inlineStr">
        <is>
          <t>ノベルティ 2</t>
        </is>
      </c>
      <c r="E125" s="11" t="n">
        <v>5175</v>
      </c>
      <c r="F125" s="11" t="n">
        <v>5693</v>
      </c>
      <c r="G125" s="3" t="inlineStr">
        <is>
          <t>営業部</t>
        </is>
      </c>
      <c r="H125" s="3" t="inlineStr">
        <is>
          <t>週刊PRESS</t>
        </is>
      </c>
      <c r="I125" s="9" t="n">
        <v>46134</v>
      </c>
      <c r="J125" s="3" t="inlineStr">
        <is>
          <t>要返却</t>
        </is>
      </c>
      <c r="K125" s="8" t="b">
        <v>1</v>
      </c>
      <c r="L125" s="9" t="n">
        <v>46164</v>
      </c>
    </row>
    <row r="126">
      <c r="A126" s="8" t="n">
        <v>125</v>
      </c>
      <c r="B126" s="8" t="n">
        <v>62</v>
      </c>
      <c r="C126" s="3" t="inlineStr">
        <is>
          <t>PRD-0062-3</t>
        </is>
      </c>
      <c r="D126" s="3" t="inlineStr">
        <is>
          <t>プレスキット 3</t>
        </is>
      </c>
      <c r="E126" s="11" t="n">
        <v>5696</v>
      </c>
      <c r="F126" s="11" t="n">
        <v>6266</v>
      </c>
      <c r="G126" s="3" t="inlineStr">
        <is>
          <t>広告代理店A</t>
        </is>
      </c>
      <c r="H126" s="3" t="inlineStr">
        <is>
          <t>月刊メディア</t>
        </is>
      </c>
      <c r="I126" s="9" t="n">
        <v>46133</v>
      </c>
      <c r="J126" s="3" t="inlineStr">
        <is>
          <t>先方確認済み</t>
        </is>
      </c>
      <c r="K126" s="8" t="b">
        <v>0</v>
      </c>
      <c r="L126" s="9" t="n"/>
    </row>
    <row r="127">
      <c r="A127" s="8" t="n">
        <v>126</v>
      </c>
      <c r="B127" s="8" t="n">
        <v>63</v>
      </c>
      <c r="C127" s="3" t="inlineStr">
        <is>
          <t>PRD-0063-1</t>
        </is>
      </c>
      <c r="D127" s="3" t="inlineStr">
        <is>
          <t>ノベルティ 1</t>
        </is>
      </c>
      <c r="E127" s="11" t="n">
        <v>4971</v>
      </c>
      <c r="F127" s="11" t="n">
        <v>5468</v>
      </c>
      <c r="G127" s="3" t="inlineStr">
        <is>
          <t>営業部</t>
        </is>
      </c>
      <c r="H127" s="3" t="inlineStr">
        <is>
          <t>週刊PRESS</t>
        </is>
      </c>
      <c r="I127" s="9" t="n">
        <v>46136</v>
      </c>
      <c r="J127" s="3" t="inlineStr">
        <is>
          <t>要返却</t>
        </is>
      </c>
      <c r="K127" s="8" t="b">
        <v>1</v>
      </c>
      <c r="L127" s="9" t="n">
        <v>46168</v>
      </c>
    </row>
    <row r="128">
      <c r="A128" s="8" t="n">
        <v>127</v>
      </c>
      <c r="B128" s="8" t="n">
        <v>64</v>
      </c>
      <c r="C128" s="3" t="inlineStr">
        <is>
          <t>PRD-0064-1</t>
        </is>
      </c>
      <c r="D128" s="3" t="inlineStr">
        <is>
          <t>プレスキット 1</t>
        </is>
      </c>
      <c r="E128" s="11" t="n">
        <v>5288</v>
      </c>
      <c r="F128" s="11" t="n">
        <v>5817</v>
      </c>
      <c r="G128" s="3" t="inlineStr">
        <is>
          <t>広告代理店A</t>
        </is>
      </c>
      <c r="H128" s="3" t="inlineStr">
        <is>
          <t>月刊メディア</t>
        </is>
      </c>
      <c r="I128" s="9" t="n">
        <v>46137</v>
      </c>
      <c r="J128" s="3" t="inlineStr">
        <is>
          <t>先方確認済み</t>
        </is>
      </c>
      <c r="K128" s="8" t="b">
        <v>0</v>
      </c>
      <c r="L128" s="9" t="n"/>
    </row>
    <row r="129">
      <c r="A129" s="8" t="n">
        <v>128</v>
      </c>
      <c r="B129" s="8" t="n">
        <v>64</v>
      </c>
      <c r="C129" s="3" t="inlineStr">
        <is>
          <t>PRD-0064-2</t>
        </is>
      </c>
      <c r="D129" s="3" t="inlineStr">
        <is>
          <t>販促POP 2</t>
        </is>
      </c>
      <c r="E129" s="11" t="n">
        <v>5809</v>
      </c>
      <c r="F129" s="11" t="n">
        <v>6390</v>
      </c>
      <c r="G129" s="3" t="inlineStr">
        <is>
          <t>広告代理店B</t>
        </is>
      </c>
      <c r="H129" s="3" t="inlineStr">
        <is>
          <t>ニュースWave</t>
        </is>
      </c>
      <c r="I129" s="9" t="n">
        <v>46136</v>
      </c>
      <c r="J129" s="3" t="inlineStr">
        <is>
          <t>再送不可</t>
        </is>
      </c>
      <c r="K129" s="8" t="b">
        <v>1</v>
      </c>
      <c r="L129" s="9" t="n">
        <v>46162</v>
      </c>
    </row>
    <row r="130">
      <c r="A130" s="8" t="n">
        <v>129</v>
      </c>
      <c r="B130" s="8" t="n">
        <v>65</v>
      </c>
      <c r="C130" s="3" t="inlineStr">
        <is>
          <t>PRD-0065-1</t>
        </is>
      </c>
      <c r="D130" s="3" t="inlineStr">
        <is>
          <t>販促POP 1</t>
        </is>
      </c>
      <c r="E130" s="11" t="n">
        <v>5605</v>
      </c>
      <c r="F130" s="11" t="n">
        <v>6166</v>
      </c>
      <c r="G130" s="3" t="inlineStr">
        <is>
          <t>広告代理店B</t>
        </is>
      </c>
      <c r="H130" s="3" t="inlineStr">
        <is>
          <t>ニュースWave</t>
        </is>
      </c>
      <c r="I130" s="9" t="n">
        <v>46138</v>
      </c>
      <c r="J130" s="3" t="inlineStr">
        <is>
          <t>再送不可</t>
        </is>
      </c>
      <c r="K130" s="8" t="b">
        <v>1</v>
      </c>
      <c r="L130" s="9" t="n">
        <v>46166</v>
      </c>
    </row>
    <row r="131">
      <c r="A131" s="8" t="n">
        <v>130</v>
      </c>
      <c r="B131" s="8" t="n">
        <v>65</v>
      </c>
      <c r="C131" s="3" t="inlineStr">
        <is>
          <t>PRD-0065-2</t>
        </is>
      </c>
      <c r="D131" s="3" t="inlineStr">
        <is>
          <t>取材資料 2</t>
        </is>
      </c>
      <c r="E131" s="11" t="n">
        <v>6126</v>
      </c>
      <c r="F131" s="11" t="n">
        <v>6739</v>
      </c>
      <c r="G131" s="3" t="inlineStr">
        <is>
          <t>編集部</t>
        </is>
      </c>
      <c r="H131" s="3" t="inlineStr">
        <is>
          <t>Biz Journal</t>
        </is>
      </c>
      <c r="I131" s="9" t="n">
        <v>46137</v>
      </c>
      <c r="J131" s="3" t="inlineStr">
        <is>
          <t>折れ注意</t>
        </is>
      </c>
      <c r="K131" s="8" t="b">
        <v>1</v>
      </c>
      <c r="L131" s="9" t="n">
        <v>46165</v>
      </c>
    </row>
    <row r="132">
      <c r="A132" s="8" t="n">
        <v>131</v>
      </c>
      <c r="B132" s="8" t="n">
        <v>65</v>
      </c>
      <c r="C132" s="3" t="inlineStr">
        <is>
          <t>PRD-0065-3</t>
        </is>
      </c>
      <c r="D132" s="3" t="inlineStr">
        <is>
          <t>サンプル冊子 3</t>
        </is>
      </c>
      <c r="E132" s="11" t="n">
        <v>6647</v>
      </c>
      <c r="F132" s="11" t="n">
        <v>7312</v>
      </c>
      <c r="G132" s="3" t="inlineStr">
        <is>
          <t>制作部</t>
        </is>
      </c>
      <c r="H132" s="3" t="inlineStr">
        <is>
          <t>Tech Line</t>
        </is>
      </c>
      <c r="I132" s="9" t="n">
        <v>46136</v>
      </c>
      <c r="J132" s="3" t="inlineStr">
        <is>
          <t>機密資料を含む</t>
        </is>
      </c>
      <c r="K132" s="8" t="b">
        <v>1</v>
      </c>
      <c r="L132" s="9" t="n">
        <v>46164</v>
      </c>
    </row>
    <row r="133">
      <c r="A133" s="8" t="n">
        <v>132</v>
      </c>
      <c r="B133" s="8" t="n">
        <v>66</v>
      </c>
      <c r="C133" s="3" t="inlineStr">
        <is>
          <t>PRD-0066-1</t>
        </is>
      </c>
      <c r="D133" s="3" t="inlineStr">
        <is>
          <t>取材資料 1</t>
        </is>
      </c>
      <c r="E133" s="11" t="n">
        <v>5922</v>
      </c>
      <c r="F133" s="11" t="n">
        <v>6514</v>
      </c>
      <c r="G133" s="3" t="inlineStr">
        <is>
          <t>編集部</t>
        </is>
      </c>
      <c r="H133" s="3" t="inlineStr">
        <is>
          <t>Biz Journal</t>
        </is>
      </c>
      <c r="I133" s="9" t="n">
        <v>46139</v>
      </c>
      <c r="J133" s="3" t="inlineStr">
        <is>
          <t>折れ注意</t>
        </is>
      </c>
      <c r="K133" s="8" t="b">
        <v>1</v>
      </c>
      <c r="L133" s="9" t="n">
        <v>46169</v>
      </c>
    </row>
    <row r="134">
      <c r="A134" s="8" t="n">
        <v>133</v>
      </c>
      <c r="B134" s="8" t="n">
        <v>67</v>
      </c>
      <c r="C134" s="3" t="inlineStr">
        <is>
          <t>PRD-0067-1</t>
        </is>
      </c>
      <c r="D134" s="3" t="inlineStr">
        <is>
          <t>サンプル冊子 1</t>
        </is>
      </c>
      <c r="E134" s="11" t="n">
        <v>6239</v>
      </c>
      <c r="F134" s="11" t="n">
        <v>6863</v>
      </c>
      <c r="G134" s="3" t="inlineStr">
        <is>
          <t>制作部</t>
        </is>
      </c>
      <c r="H134" s="3" t="inlineStr">
        <is>
          <t>Tech Line</t>
        </is>
      </c>
      <c r="I134" s="9" t="n">
        <v>46140</v>
      </c>
      <c r="J134" s="3" t="inlineStr">
        <is>
          <t>機密資料を含む</t>
        </is>
      </c>
      <c r="K134" s="8" t="b">
        <v>1</v>
      </c>
      <c r="L134" s="9" t="n">
        <v>46172</v>
      </c>
    </row>
    <row r="135">
      <c r="A135" s="8" t="n">
        <v>134</v>
      </c>
      <c r="B135" s="8" t="n">
        <v>67</v>
      </c>
      <c r="C135" s="3" t="inlineStr">
        <is>
          <t>PRD-0067-2</t>
        </is>
      </c>
      <c r="D135" s="3" t="inlineStr">
        <is>
          <t>広報写真 2</t>
        </is>
      </c>
      <c r="E135" s="11" t="n">
        <v>6760</v>
      </c>
      <c r="F135" s="11" t="n">
        <v>7436</v>
      </c>
      <c r="G135" s="3" t="inlineStr">
        <is>
          <t>宣伝課</t>
        </is>
      </c>
      <c r="H135" s="3" t="inlineStr">
        <is>
          <t>生活スタイル</t>
        </is>
      </c>
      <c r="I135" s="9" t="n">
        <v>46139</v>
      </c>
      <c r="J135" s="3" t="inlineStr">
        <is>
          <t>予備あり</t>
        </is>
      </c>
      <c r="K135" s="8" t="b">
        <v>0</v>
      </c>
      <c r="L135" s="9" t="n"/>
    </row>
    <row r="136">
      <c r="A136" s="8" t="n">
        <v>135</v>
      </c>
      <c r="B136" s="8" t="n">
        <v>68</v>
      </c>
      <c r="C136" s="3" t="inlineStr">
        <is>
          <t>PRD-0068-1</t>
        </is>
      </c>
      <c r="D136" s="3" t="inlineStr">
        <is>
          <t>広報写真 1</t>
        </is>
      </c>
      <c r="E136" s="11" t="n">
        <v>6556</v>
      </c>
      <c r="F136" s="11" t="n">
        <v>7212</v>
      </c>
      <c r="G136" s="3" t="inlineStr">
        <is>
          <t>宣伝課</t>
        </is>
      </c>
      <c r="H136" s="3" t="inlineStr">
        <is>
          <t>生活スタイル</t>
        </is>
      </c>
      <c r="I136" s="9" t="n">
        <v>46141</v>
      </c>
      <c r="J136" s="3" t="inlineStr">
        <is>
          <t>予備あり</t>
        </is>
      </c>
      <c r="K136" s="8" t="b">
        <v>0</v>
      </c>
      <c r="L136" s="9" t="n"/>
    </row>
    <row r="137">
      <c r="A137" s="8" t="n">
        <v>136</v>
      </c>
      <c r="B137" s="8" t="n">
        <v>68</v>
      </c>
      <c r="C137" s="3" t="inlineStr">
        <is>
          <t>PRD-0068-2</t>
        </is>
      </c>
      <c r="D137" s="3" t="inlineStr">
        <is>
          <t>掲載誌 2</t>
        </is>
      </c>
      <c r="E137" s="11" t="n">
        <v>7077</v>
      </c>
      <c r="F137" s="11" t="n">
        <v>7785</v>
      </c>
      <c r="G137" s="3" t="inlineStr">
        <is>
          <t>営業部</t>
        </is>
      </c>
      <c r="H137" s="3" t="inlineStr">
        <is>
          <t>カルチャー通信</t>
        </is>
      </c>
      <c r="I137" s="9" t="n">
        <v>46140</v>
      </c>
      <c r="J137" s="3" t="inlineStr">
        <is>
          <t>急ぎ対応</t>
        </is>
      </c>
      <c r="K137" s="8" t="b">
        <v>1</v>
      </c>
      <c r="L137" s="9" t="n">
        <v>46174</v>
      </c>
    </row>
    <row r="138">
      <c r="A138" s="8" t="n">
        <v>137</v>
      </c>
      <c r="B138" s="8" t="n">
        <v>68</v>
      </c>
      <c r="C138" s="3" t="inlineStr">
        <is>
          <t>PRD-0068-3</t>
        </is>
      </c>
      <c r="D138" s="3" t="inlineStr">
        <is>
          <t>校正紙 3</t>
        </is>
      </c>
      <c r="E138" s="11" t="n">
        <v>7598</v>
      </c>
      <c r="F138" s="11" t="n">
        <v>8358</v>
      </c>
      <c r="G138" s="3" t="inlineStr">
        <is>
          <t>広告代理店A</t>
        </is>
      </c>
      <c r="H138" s="3" t="inlineStr">
        <is>
          <t>週刊PRESS</t>
        </is>
      </c>
      <c r="I138" s="9" t="n">
        <v>46139</v>
      </c>
      <c r="J138" s="3" t="inlineStr">
        <is>
          <t>要返却</t>
        </is>
      </c>
      <c r="K138" s="8" t="b">
        <v>1</v>
      </c>
      <c r="L138" s="9" t="n">
        <v>46173</v>
      </c>
    </row>
    <row r="139">
      <c r="A139" s="8" t="n">
        <v>138</v>
      </c>
      <c r="B139" s="8" t="n">
        <v>69</v>
      </c>
      <c r="C139" s="3" t="inlineStr">
        <is>
          <t>PRD-0069-1</t>
        </is>
      </c>
      <c r="D139" s="3" t="inlineStr">
        <is>
          <t>掲載誌 1</t>
        </is>
      </c>
      <c r="E139" s="11" t="n">
        <v>6873</v>
      </c>
      <c r="F139" s="11" t="n">
        <v>7560</v>
      </c>
      <c r="G139" s="3" t="inlineStr">
        <is>
          <t>営業部</t>
        </is>
      </c>
      <c r="H139" s="3" t="inlineStr">
        <is>
          <t>カルチャー通信</t>
        </is>
      </c>
      <c r="I139" s="9" t="n">
        <v>46142</v>
      </c>
      <c r="J139" s="3" t="inlineStr">
        <is>
          <t>急ぎ対応</t>
        </is>
      </c>
      <c r="K139" s="8" t="b">
        <v>1</v>
      </c>
      <c r="L139" s="9" t="n">
        <v>46178</v>
      </c>
    </row>
    <row r="140">
      <c r="A140" s="8" t="n">
        <v>139</v>
      </c>
      <c r="B140" s="8" t="n">
        <v>70</v>
      </c>
      <c r="C140" s="3" t="inlineStr">
        <is>
          <t>PRD-0070-1</t>
        </is>
      </c>
      <c r="D140" s="3" t="inlineStr">
        <is>
          <t>校正紙 1</t>
        </is>
      </c>
      <c r="E140" s="11" t="n">
        <v>7190</v>
      </c>
      <c r="F140" s="11" t="n">
        <v>7909</v>
      </c>
      <c r="G140" s="3" t="inlineStr">
        <is>
          <t>広告代理店A</t>
        </is>
      </c>
      <c r="H140" s="3" t="inlineStr">
        <is>
          <t>週刊PRESS</t>
        </is>
      </c>
      <c r="I140" s="9" t="n">
        <v>46143</v>
      </c>
      <c r="J140" s="3" t="inlineStr">
        <is>
          <t>要返却</t>
        </is>
      </c>
      <c r="K140" s="8" t="b">
        <v>1</v>
      </c>
      <c r="L140" s="9" t="n">
        <v>46181</v>
      </c>
    </row>
    <row r="141">
      <c r="A141" s="8" t="n">
        <v>140</v>
      </c>
      <c r="B141" s="8" t="n">
        <v>70</v>
      </c>
      <c r="C141" s="3" t="inlineStr">
        <is>
          <t>PRD-0070-2</t>
        </is>
      </c>
      <c r="D141" s="3" t="inlineStr">
        <is>
          <t>ノベルティ 2</t>
        </is>
      </c>
      <c r="E141" s="11" t="n">
        <v>7711</v>
      </c>
      <c r="F141" s="11" t="n">
        <v>8482</v>
      </c>
      <c r="G141" s="3" t="inlineStr">
        <is>
          <t>広告代理店B</t>
        </is>
      </c>
      <c r="H141" s="3" t="inlineStr">
        <is>
          <t>月刊メディア</t>
        </is>
      </c>
      <c r="I141" s="9" t="n">
        <v>46142</v>
      </c>
      <c r="J141" s="3" t="inlineStr">
        <is>
          <t>先方確認済み</t>
        </is>
      </c>
      <c r="K141" s="8" t="b">
        <v>1</v>
      </c>
      <c r="L141" s="9" t="n">
        <v>46180</v>
      </c>
    </row>
    <row r="142">
      <c r="A142" s="8" t="n">
        <v>141</v>
      </c>
      <c r="B142" s="8" t="n">
        <v>71</v>
      </c>
      <c r="C142" s="3" t="inlineStr">
        <is>
          <t>PRD-0071-1</t>
        </is>
      </c>
      <c r="D142" s="3" t="inlineStr">
        <is>
          <t>ノベルティ 1</t>
        </is>
      </c>
      <c r="E142" s="11" t="n">
        <v>7507</v>
      </c>
      <c r="F142" s="11" t="n">
        <v>8258</v>
      </c>
      <c r="G142" s="3" t="inlineStr">
        <is>
          <t>広告代理店B</t>
        </is>
      </c>
      <c r="H142" s="3" t="inlineStr">
        <is>
          <t>月刊メディア</t>
        </is>
      </c>
      <c r="I142" s="9" t="n">
        <v>46144</v>
      </c>
      <c r="J142" s="3" t="inlineStr">
        <is>
          <t>先方確認済み</t>
        </is>
      </c>
      <c r="K142" s="8" t="b">
        <v>1</v>
      </c>
      <c r="L142" s="9" t="n">
        <v>46184</v>
      </c>
    </row>
    <row r="143">
      <c r="A143" s="8" t="n">
        <v>142</v>
      </c>
      <c r="B143" s="8" t="n">
        <v>71</v>
      </c>
      <c r="C143" s="3" t="inlineStr">
        <is>
          <t>PRD-0071-2</t>
        </is>
      </c>
      <c r="D143" s="3" t="inlineStr">
        <is>
          <t>プレスキット 2</t>
        </is>
      </c>
      <c r="E143" s="11" t="n">
        <v>8028</v>
      </c>
      <c r="F143" s="11" t="n">
        <v>8831</v>
      </c>
      <c r="G143" s="3" t="inlineStr">
        <is>
          <t>編集部</t>
        </is>
      </c>
      <c r="H143" s="3" t="inlineStr">
        <is>
          <t>ニュースWave</t>
        </is>
      </c>
      <c r="I143" s="9" t="n">
        <v>46143</v>
      </c>
      <c r="J143" s="3" t="inlineStr">
        <is>
          <t>再送不可</t>
        </is>
      </c>
      <c r="K143" s="8" t="b">
        <v>0</v>
      </c>
      <c r="L143" s="9" t="n"/>
    </row>
    <row r="144">
      <c r="A144" s="8" t="n">
        <v>143</v>
      </c>
      <c r="B144" s="8" t="n">
        <v>71</v>
      </c>
      <c r="C144" s="3" t="inlineStr">
        <is>
          <t>PRD-0071-3</t>
        </is>
      </c>
      <c r="D144" s="3" t="inlineStr">
        <is>
          <t>販促POP 3</t>
        </is>
      </c>
      <c r="E144" s="11" t="n">
        <v>8549</v>
      </c>
      <c r="F144" s="11" t="n">
        <v>9404</v>
      </c>
      <c r="G144" s="3" t="inlineStr">
        <is>
          <t>制作部</t>
        </is>
      </c>
      <c r="H144" s="3" t="inlineStr">
        <is>
          <t>Biz Journal</t>
        </is>
      </c>
      <c r="I144" s="9" t="n">
        <v>46142</v>
      </c>
      <c r="J144" s="3" t="inlineStr">
        <is>
          <t>折れ注意</t>
        </is>
      </c>
      <c r="K144" s="8" t="b">
        <v>1</v>
      </c>
      <c r="L144" s="9" t="n">
        <v>46182</v>
      </c>
    </row>
    <row r="145">
      <c r="A145" s="8" t="n">
        <v>144</v>
      </c>
      <c r="B145" s="8" t="n">
        <v>72</v>
      </c>
      <c r="C145" s="3" t="inlineStr">
        <is>
          <t>PRD-0072-1</t>
        </is>
      </c>
      <c r="D145" s="3" t="inlineStr">
        <is>
          <t>プレスキット 1</t>
        </is>
      </c>
      <c r="E145" s="11" t="n">
        <v>7824</v>
      </c>
      <c r="F145" s="11" t="n">
        <v>8606</v>
      </c>
      <c r="G145" s="3" t="inlineStr">
        <is>
          <t>編集部</t>
        </is>
      </c>
      <c r="H145" s="3" t="inlineStr">
        <is>
          <t>ニュースWave</t>
        </is>
      </c>
      <c r="I145" s="9" t="n">
        <v>46145</v>
      </c>
      <c r="J145" s="3" t="inlineStr">
        <is>
          <t>再送不可</t>
        </is>
      </c>
      <c r="K145" s="8" t="b">
        <v>0</v>
      </c>
      <c r="L145" s="9" t="n"/>
    </row>
    <row r="146">
      <c r="A146" s="8" t="n">
        <v>145</v>
      </c>
      <c r="B146" s="8" t="n">
        <v>73</v>
      </c>
      <c r="C146" s="3" t="inlineStr">
        <is>
          <t>PRD-0073-1</t>
        </is>
      </c>
      <c r="D146" s="3" t="inlineStr">
        <is>
          <t>販促POP 1</t>
        </is>
      </c>
      <c r="E146" s="11" t="n">
        <v>8141</v>
      </c>
      <c r="F146" s="11" t="n">
        <v>8955</v>
      </c>
      <c r="G146" s="3" t="inlineStr">
        <is>
          <t>制作部</t>
        </is>
      </c>
      <c r="H146" s="3" t="inlineStr">
        <is>
          <t>Biz Journal</t>
        </is>
      </c>
      <c r="I146" s="9" t="n">
        <v>46146</v>
      </c>
      <c r="J146" s="3" t="inlineStr">
        <is>
          <t>折れ注意</t>
        </is>
      </c>
      <c r="K146" s="8" t="b">
        <v>1</v>
      </c>
      <c r="L146" s="9" t="n">
        <v>46182</v>
      </c>
    </row>
    <row r="147">
      <c r="A147" s="8" t="n">
        <v>146</v>
      </c>
      <c r="B147" s="8" t="n">
        <v>73</v>
      </c>
      <c r="C147" s="3" t="inlineStr">
        <is>
          <t>PRD-0073-2</t>
        </is>
      </c>
      <c r="D147" s="3" t="inlineStr">
        <is>
          <t>取材資料 2</t>
        </is>
      </c>
      <c r="E147" s="11" t="n">
        <v>8662</v>
      </c>
      <c r="F147" s="11" t="n">
        <v>9528</v>
      </c>
      <c r="G147" s="3" t="inlineStr">
        <is>
          <t>宣伝課</t>
        </is>
      </c>
      <c r="H147" s="3" t="inlineStr">
        <is>
          <t>Tech Line</t>
        </is>
      </c>
      <c r="I147" s="9" t="n">
        <v>46145</v>
      </c>
      <c r="J147" s="3" t="inlineStr">
        <is>
          <t>機密資料を含む</t>
        </is>
      </c>
      <c r="K147" s="8" t="b">
        <v>1</v>
      </c>
      <c r="L147" s="9" t="n">
        <v>46181</v>
      </c>
    </row>
    <row r="148">
      <c r="A148" s="8" t="n">
        <v>147</v>
      </c>
      <c r="B148" s="8" t="n">
        <v>74</v>
      </c>
      <c r="C148" s="3" t="inlineStr">
        <is>
          <t>PRD-0074-1</t>
        </is>
      </c>
      <c r="D148" s="3" t="inlineStr">
        <is>
          <t>取材資料 1</t>
        </is>
      </c>
      <c r="E148" s="11" t="n">
        <v>8458</v>
      </c>
      <c r="F148" s="11" t="n">
        <v>9304</v>
      </c>
      <c r="G148" s="3" t="inlineStr">
        <is>
          <t>宣伝課</t>
        </is>
      </c>
      <c r="H148" s="3" t="inlineStr">
        <is>
          <t>Tech Line</t>
        </is>
      </c>
      <c r="I148" s="9" t="n">
        <v>46147</v>
      </c>
      <c r="J148" s="3" t="inlineStr">
        <is>
          <t>機密資料を含む</t>
        </is>
      </c>
      <c r="K148" s="8" t="b">
        <v>1</v>
      </c>
      <c r="L148" s="9" t="n">
        <v>46185</v>
      </c>
    </row>
    <row r="149">
      <c r="A149" s="8" t="n">
        <v>148</v>
      </c>
      <c r="B149" s="8" t="n">
        <v>74</v>
      </c>
      <c r="C149" s="3" t="inlineStr">
        <is>
          <t>PRD-0074-2</t>
        </is>
      </c>
      <c r="D149" s="3" t="inlineStr">
        <is>
          <t>サンプル冊子 2</t>
        </is>
      </c>
      <c r="E149" s="11" t="n">
        <v>8979</v>
      </c>
      <c r="F149" s="11" t="n">
        <v>9877</v>
      </c>
      <c r="G149" s="3" t="inlineStr">
        <is>
          <t>営業部</t>
        </is>
      </c>
      <c r="H149" s="3" t="inlineStr">
        <is>
          <t>生活スタイル</t>
        </is>
      </c>
      <c r="I149" s="9" t="n">
        <v>46146</v>
      </c>
      <c r="J149" s="3" t="inlineStr">
        <is>
          <t>予備あり</t>
        </is>
      </c>
      <c r="K149" s="8" t="b">
        <v>1</v>
      </c>
      <c r="L149" s="9" t="n">
        <v>46184</v>
      </c>
    </row>
    <row r="150">
      <c r="A150" s="8" t="n">
        <v>149</v>
      </c>
      <c r="B150" s="8" t="n">
        <v>74</v>
      </c>
      <c r="C150" s="3" t="inlineStr">
        <is>
          <t>PRD-0074-3</t>
        </is>
      </c>
      <c r="D150" s="3" t="inlineStr">
        <is>
          <t>広報写真 3</t>
        </is>
      </c>
      <c r="E150" s="11" t="n">
        <v>9500</v>
      </c>
      <c r="F150" s="11" t="n">
        <v>10450</v>
      </c>
      <c r="G150" s="3" t="inlineStr">
        <is>
          <t>広告代理店A</t>
        </is>
      </c>
      <c r="H150" s="3" t="inlineStr">
        <is>
          <t>カルチャー通信</t>
        </is>
      </c>
      <c r="I150" s="9" t="n">
        <v>46145</v>
      </c>
      <c r="J150" s="3" t="inlineStr">
        <is>
          <t>急ぎ対応</t>
        </is>
      </c>
      <c r="K150" s="8" t="b">
        <v>0</v>
      </c>
      <c r="L150" s="9" t="n"/>
    </row>
    <row r="151">
      <c r="A151" s="8" t="n">
        <v>150</v>
      </c>
      <c r="B151" s="8" t="n">
        <v>75</v>
      </c>
      <c r="C151" s="3" t="inlineStr">
        <is>
          <t>PRD-0075-1</t>
        </is>
      </c>
      <c r="D151" s="3" t="inlineStr">
        <is>
          <t>サンプル冊子 1</t>
        </is>
      </c>
      <c r="E151" s="11" t="n">
        <v>8775</v>
      </c>
      <c r="F151" s="11" t="n">
        <v>9652</v>
      </c>
      <c r="G151" s="3" t="inlineStr">
        <is>
          <t>営業部</t>
        </is>
      </c>
      <c r="H151" s="3" t="inlineStr">
        <is>
          <t>生活スタイル</t>
        </is>
      </c>
      <c r="I151" s="9" t="n">
        <v>45998</v>
      </c>
      <c r="J151" s="3" t="inlineStr">
        <is>
          <t>予備あり</t>
        </is>
      </c>
      <c r="K151" s="8" t="b">
        <v>1</v>
      </c>
      <c r="L151" s="9" t="n">
        <v>46038</v>
      </c>
    </row>
    <row r="152">
      <c r="A152" s="8" t="n">
        <v>151</v>
      </c>
      <c r="B152" s="8" t="n">
        <v>76</v>
      </c>
      <c r="C152" s="3" t="inlineStr">
        <is>
          <t>PRD-0076-1</t>
        </is>
      </c>
      <c r="D152" s="3" t="inlineStr">
        <is>
          <t>広報写真 1</t>
        </is>
      </c>
      <c r="E152" s="11" t="n">
        <v>9092</v>
      </c>
      <c r="F152" s="11" t="n">
        <v>10001</v>
      </c>
      <c r="G152" s="3" t="inlineStr">
        <is>
          <t>広告代理店A</t>
        </is>
      </c>
      <c r="H152" s="3" t="inlineStr">
        <is>
          <t>カルチャー通信</t>
        </is>
      </c>
      <c r="I152" s="9" t="n">
        <v>45999</v>
      </c>
      <c r="J152" s="3" t="inlineStr">
        <is>
          <t>急ぎ対応</t>
        </is>
      </c>
      <c r="K152" s="8" t="b">
        <v>0</v>
      </c>
      <c r="L152" s="9" t="n"/>
    </row>
    <row r="153">
      <c r="A153" s="8" t="n">
        <v>152</v>
      </c>
      <c r="B153" s="8" t="n">
        <v>76</v>
      </c>
      <c r="C153" s="3" t="inlineStr">
        <is>
          <t>PRD-0076-2</t>
        </is>
      </c>
      <c r="D153" s="3" t="inlineStr">
        <is>
          <t>掲載誌 2</t>
        </is>
      </c>
      <c r="E153" s="11" t="n">
        <v>9613</v>
      </c>
      <c r="F153" s="11" t="n">
        <v>10574</v>
      </c>
      <c r="G153" s="3" t="inlineStr">
        <is>
          <t>広告代理店B</t>
        </is>
      </c>
      <c r="H153" s="3" t="inlineStr">
        <is>
          <t>週刊PRESS</t>
        </is>
      </c>
      <c r="I153" s="9" t="n">
        <v>45998</v>
      </c>
      <c r="J153" s="3" t="inlineStr">
        <is>
          <t>要返却</t>
        </is>
      </c>
      <c r="K153" s="8" t="b">
        <v>1</v>
      </c>
      <c r="L153" s="9" t="n">
        <v>46040</v>
      </c>
    </row>
    <row r="154">
      <c r="A154" s="8" t="n">
        <v>153</v>
      </c>
      <c r="B154" s="8" t="n">
        <v>77</v>
      </c>
      <c r="C154" s="3" t="inlineStr">
        <is>
          <t>PRD-0077-1</t>
        </is>
      </c>
      <c r="D154" s="3" t="inlineStr">
        <is>
          <t>掲載誌 1</t>
        </is>
      </c>
      <c r="E154" s="11" t="n">
        <v>9409</v>
      </c>
      <c r="F154" s="11" t="n">
        <v>10350</v>
      </c>
      <c r="G154" s="3" t="inlineStr">
        <is>
          <t>広告代理店B</t>
        </is>
      </c>
      <c r="H154" s="3" t="inlineStr">
        <is>
          <t>週刊PRESS</t>
        </is>
      </c>
      <c r="I154" s="9" t="n">
        <v>46000</v>
      </c>
      <c r="J154" s="3" t="inlineStr">
        <is>
          <t>要返却</t>
        </is>
      </c>
      <c r="K154" s="8" t="b">
        <v>1</v>
      </c>
      <c r="L154" s="9" t="n">
        <v>46044</v>
      </c>
    </row>
    <row r="155">
      <c r="A155" s="8" t="n">
        <v>154</v>
      </c>
      <c r="B155" s="8" t="n">
        <v>77</v>
      </c>
      <c r="C155" s="3" t="inlineStr">
        <is>
          <t>PRD-0077-2</t>
        </is>
      </c>
      <c r="D155" s="3" t="inlineStr">
        <is>
          <t>校正紙 2</t>
        </is>
      </c>
      <c r="E155" s="11" t="n">
        <v>9930</v>
      </c>
      <c r="F155" s="11" t="n">
        <v>10923</v>
      </c>
      <c r="G155" s="3" t="inlineStr">
        <is>
          <t>編集部</t>
        </is>
      </c>
      <c r="H155" s="3" t="inlineStr">
        <is>
          <t>月刊メディア</t>
        </is>
      </c>
      <c r="I155" s="9" t="n">
        <v>45999</v>
      </c>
      <c r="J155" s="3" t="inlineStr">
        <is>
          <t>先方確認済み</t>
        </is>
      </c>
      <c r="K155" s="8" t="b">
        <v>1</v>
      </c>
      <c r="L155" s="9" t="n">
        <v>46043</v>
      </c>
    </row>
    <row r="156">
      <c r="A156" s="8" t="n">
        <v>155</v>
      </c>
      <c r="B156" s="8" t="n">
        <v>77</v>
      </c>
      <c r="C156" s="3" t="inlineStr">
        <is>
          <t>PRD-0077-3</t>
        </is>
      </c>
      <c r="D156" s="3" t="inlineStr">
        <is>
          <t>ノベルティ 3</t>
        </is>
      </c>
      <c r="E156" s="11" t="n">
        <v>10451</v>
      </c>
      <c r="F156" s="11" t="n">
        <v>11496</v>
      </c>
      <c r="G156" s="3" t="inlineStr">
        <is>
          <t>制作部</t>
        </is>
      </c>
      <c r="H156" s="3" t="inlineStr">
        <is>
          <t>ニュースWave</t>
        </is>
      </c>
      <c r="I156" s="9" t="n">
        <v>45998</v>
      </c>
      <c r="J156" s="3" t="inlineStr">
        <is>
          <t>再送不可</t>
        </is>
      </c>
      <c r="K156" s="8" t="b">
        <v>1</v>
      </c>
      <c r="L156" s="9" t="n">
        <v>46042</v>
      </c>
    </row>
    <row r="157">
      <c r="A157" s="8" t="n">
        <v>156</v>
      </c>
      <c r="B157" s="8" t="n">
        <v>78</v>
      </c>
      <c r="C157" s="3" t="inlineStr">
        <is>
          <t>PRD-0078-1</t>
        </is>
      </c>
      <c r="D157" s="3" t="inlineStr">
        <is>
          <t>校正紙 1</t>
        </is>
      </c>
      <c r="E157" s="11" t="n">
        <v>9726</v>
      </c>
      <c r="F157" s="11" t="n">
        <v>10699</v>
      </c>
      <c r="G157" s="3" t="inlineStr">
        <is>
          <t>編集部</t>
        </is>
      </c>
      <c r="H157" s="3" t="inlineStr">
        <is>
          <t>月刊メディア</t>
        </is>
      </c>
      <c r="I157" s="9" t="n">
        <v>46001</v>
      </c>
      <c r="J157" s="3" t="inlineStr">
        <is>
          <t>先方確認済み</t>
        </is>
      </c>
      <c r="K157" s="8" t="b">
        <v>1</v>
      </c>
      <c r="L157" s="9" t="n">
        <v>46047</v>
      </c>
    </row>
    <row r="158">
      <c r="A158" s="8" t="n">
        <v>157</v>
      </c>
      <c r="B158" s="8" t="n">
        <v>79</v>
      </c>
      <c r="C158" s="3" t="inlineStr">
        <is>
          <t>PRD-0079-1</t>
        </is>
      </c>
      <c r="D158" s="3" t="inlineStr">
        <is>
          <t>ノベルティ 1</t>
        </is>
      </c>
      <c r="E158" s="11" t="n">
        <v>10043</v>
      </c>
      <c r="F158" s="11" t="n">
        <v>11047</v>
      </c>
      <c r="G158" s="3" t="inlineStr">
        <is>
          <t>制作部</t>
        </is>
      </c>
      <c r="H158" s="3" t="inlineStr">
        <is>
          <t>ニュースWave</t>
        </is>
      </c>
      <c r="I158" s="9" t="n">
        <v>46002</v>
      </c>
      <c r="J158" s="3" t="inlineStr">
        <is>
          <t>再送不可</t>
        </is>
      </c>
      <c r="K158" s="8" t="b">
        <v>1</v>
      </c>
      <c r="L158" s="9" t="n">
        <v>46050</v>
      </c>
    </row>
    <row r="159">
      <c r="A159" s="8" t="n">
        <v>158</v>
      </c>
      <c r="B159" s="8" t="n">
        <v>79</v>
      </c>
      <c r="C159" s="3" t="inlineStr">
        <is>
          <t>PRD-0079-2</t>
        </is>
      </c>
      <c r="D159" s="3" t="inlineStr">
        <is>
          <t>プレスキット 2</t>
        </is>
      </c>
      <c r="E159" s="11" t="n">
        <v>10564</v>
      </c>
      <c r="F159" s="11" t="n">
        <v>11620</v>
      </c>
      <c r="G159" s="3" t="inlineStr">
        <is>
          <t>宣伝課</t>
        </is>
      </c>
      <c r="H159" s="3" t="inlineStr">
        <is>
          <t>Biz Journal</t>
        </is>
      </c>
      <c r="I159" s="9" t="n">
        <v>46001</v>
      </c>
      <c r="J159" s="3" t="inlineStr">
        <is>
          <t>折れ注意</t>
        </is>
      </c>
      <c r="K159" s="8" t="b">
        <v>0</v>
      </c>
      <c r="L159" s="9" t="n"/>
    </row>
    <row r="160">
      <c r="A160" s="8" t="n">
        <v>159</v>
      </c>
      <c r="B160" s="8" t="n">
        <v>80</v>
      </c>
      <c r="C160" s="3" t="inlineStr">
        <is>
          <t>PRD-0080-1</t>
        </is>
      </c>
      <c r="D160" s="3" t="inlineStr">
        <is>
          <t>プレスキット 1</t>
        </is>
      </c>
      <c r="E160" s="11" t="n">
        <v>10360</v>
      </c>
      <c r="F160" s="11" t="n">
        <v>11396</v>
      </c>
      <c r="G160" s="3" t="inlineStr">
        <is>
          <t>宣伝課</t>
        </is>
      </c>
      <c r="H160" s="3" t="inlineStr">
        <is>
          <t>Biz Journal</t>
        </is>
      </c>
      <c r="I160" s="9" t="n">
        <v>46003</v>
      </c>
      <c r="J160" s="3" t="inlineStr">
        <is>
          <t>折れ注意</t>
        </is>
      </c>
      <c r="K160" s="8" t="b">
        <v>0</v>
      </c>
      <c r="L160" s="9" t="n"/>
    </row>
    <row r="161">
      <c r="A161" s="8" t="n">
        <v>160</v>
      </c>
      <c r="B161" s="8" t="n">
        <v>80</v>
      </c>
      <c r="C161" s="3" t="inlineStr">
        <is>
          <t>PRD-0080-2</t>
        </is>
      </c>
      <c r="D161" s="3" t="inlineStr">
        <is>
          <t>販促POP 2</t>
        </is>
      </c>
      <c r="E161" s="11" t="n">
        <v>10881</v>
      </c>
      <c r="F161" s="11" t="n">
        <v>11969</v>
      </c>
      <c r="G161" s="3" t="inlineStr">
        <is>
          <t>営業部</t>
        </is>
      </c>
      <c r="H161" s="3" t="inlineStr">
        <is>
          <t>Tech Line</t>
        </is>
      </c>
      <c r="I161" s="9" t="n">
        <v>46002</v>
      </c>
      <c r="J161" s="3" t="inlineStr">
        <is>
          <t>機密資料を含む</t>
        </is>
      </c>
      <c r="K161" s="8" t="b">
        <v>1</v>
      </c>
      <c r="L161" s="9" t="n">
        <v>46044</v>
      </c>
    </row>
    <row r="162">
      <c r="A162" s="8" t="n">
        <v>161</v>
      </c>
      <c r="B162" s="8" t="n">
        <v>80</v>
      </c>
      <c r="C162" s="3" t="inlineStr">
        <is>
          <t>PRD-0080-3</t>
        </is>
      </c>
      <c r="D162" s="3" t="inlineStr">
        <is>
          <t>取材資料 3</t>
        </is>
      </c>
      <c r="E162" s="11" t="n">
        <v>11402</v>
      </c>
      <c r="F162" s="11" t="n">
        <v>12542</v>
      </c>
      <c r="G162" s="3" t="inlineStr">
        <is>
          <t>広告代理店A</t>
        </is>
      </c>
      <c r="H162" s="3" t="inlineStr">
        <is>
          <t>生活スタイル</t>
        </is>
      </c>
      <c r="I162" s="9" t="n">
        <v>46001</v>
      </c>
      <c r="J162" s="3" t="inlineStr">
        <is>
          <t>予備あり</t>
        </is>
      </c>
      <c r="K162" s="8" t="b">
        <v>1</v>
      </c>
      <c r="L162" s="9" t="n">
        <v>46043</v>
      </c>
    </row>
    <row r="163">
      <c r="A163" s="8" t="n">
        <v>162</v>
      </c>
      <c r="B163" s="8" t="n">
        <v>81</v>
      </c>
      <c r="C163" s="3" t="inlineStr">
        <is>
          <t>PRD-0081-1</t>
        </is>
      </c>
      <c r="D163" s="3" t="inlineStr">
        <is>
          <t>販促POP 1</t>
        </is>
      </c>
      <c r="E163" s="11" t="n">
        <v>10677</v>
      </c>
      <c r="F163" s="11" t="n">
        <v>11745</v>
      </c>
      <c r="G163" s="3" t="inlineStr">
        <is>
          <t>営業部</t>
        </is>
      </c>
      <c r="H163" s="3" t="inlineStr">
        <is>
          <t>Tech Line</t>
        </is>
      </c>
      <c r="I163" s="9" t="n">
        <v>46004</v>
      </c>
      <c r="J163" s="3" t="inlineStr">
        <is>
          <t>機密資料を含む</t>
        </is>
      </c>
      <c r="K163" s="8" t="b">
        <v>1</v>
      </c>
      <c r="L163" s="9" t="n">
        <v>46048</v>
      </c>
    </row>
    <row r="164">
      <c r="A164" s="8" t="n">
        <v>163</v>
      </c>
      <c r="B164" s="8" t="n">
        <v>82</v>
      </c>
      <c r="C164" s="3" t="inlineStr">
        <is>
          <t>PRD-0082-1</t>
        </is>
      </c>
      <c r="D164" s="3" t="inlineStr">
        <is>
          <t>取材資料 1</t>
        </is>
      </c>
      <c r="E164" s="11" t="n">
        <v>10994</v>
      </c>
      <c r="F164" s="11" t="n">
        <v>12093</v>
      </c>
      <c r="G164" s="3" t="inlineStr">
        <is>
          <t>広告代理店A</t>
        </is>
      </c>
      <c r="H164" s="3" t="inlineStr">
        <is>
          <t>生活スタイル</t>
        </is>
      </c>
      <c r="I164" s="9" t="n">
        <v>46005</v>
      </c>
      <c r="J164" s="3" t="inlineStr">
        <is>
          <t>予備あり</t>
        </is>
      </c>
      <c r="K164" s="8" t="b">
        <v>1</v>
      </c>
      <c r="L164" s="9" t="n">
        <v>46051</v>
      </c>
    </row>
    <row r="165">
      <c r="A165" s="8" t="n">
        <v>164</v>
      </c>
      <c r="B165" s="8" t="n">
        <v>82</v>
      </c>
      <c r="C165" s="3" t="inlineStr">
        <is>
          <t>PRD-0082-2</t>
        </is>
      </c>
      <c r="D165" s="3" t="inlineStr">
        <is>
          <t>サンプル冊子 2</t>
        </is>
      </c>
      <c r="E165" s="11" t="n">
        <v>11515</v>
      </c>
      <c r="F165" s="11" t="n">
        <v>12667</v>
      </c>
      <c r="G165" s="3" t="inlineStr">
        <is>
          <t>広告代理店B</t>
        </is>
      </c>
      <c r="H165" s="3" t="inlineStr">
        <is>
          <t>カルチャー通信</t>
        </is>
      </c>
      <c r="I165" s="9" t="n">
        <v>46004</v>
      </c>
      <c r="J165" s="3" t="inlineStr">
        <is>
          <t>急ぎ対応</t>
        </is>
      </c>
      <c r="K165" s="8" t="b">
        <v>1</v>
      </c>
      <c r="L165" s="9" t="n">
        <v>46050</v>
      </c>
    </row>
    <row r="166">
      <c r="A166" s="8" t="n">
        <v>165</v>
      </c>
      <c r="B166" s="8" t="n">
        <v>83</v>
      </c>
      <c r="C166" s="3" t="inlineStr">
        <is>
          <t>PRD-0083-1</t>
        </is>
      </c>
      <c r="D166" s="3" t="inlineStr">
        <is>
          <t>サンプル冊子 1</t>
        </is>
      </c>
      <c r="E166" s="11" t="n">
        <v>11311</v>
      </c>
      <c r="F166" s="11" t="n">
        <v>12442</v>
      </c>
      <c r="G166" s="3" t="inlineStr">
        <is>
          <t>広告代理店B</t>
        </is>
      </c>
      <c r="H166" s="3" t="inlineStr">
        <is>
          <t>カルチャー通信</t>
        </is>
      </c>
      <c r="I166" s="9" t="n">
        <v>46006</v>
      </c>
      <c r="J166" s="3" t="inlineStr">
        <is>
          <t>急ぎ対応</t>
        </is>
      </c>
      <c r="K166" s="8" t="b">
        <v>1</v>
      </c>
      <c r="L166" s="9" t="n">
        <v>46054</v>
      </c>
    </row>
    <row r="167">
      <c r="A167" s="8" t="n">
        <v>166</v>
      </c>
      <c r="B167" s="8" t="n">
        <v>83</v>
      </c>
      <c r="C167" s="3" t="inlineStr">
        <is>
          <t>PRD-0083-2</t>
        </is>
      </c>
      <c r="D167" s="3" t="inlineStr">
        <is>
          <t>広報写真 2</t>
        </is>
      </c>
      <c r="E167" s="11" t="n">
        <v>11832</v>
      </c>
      <c r="F167" s="11" t="n">
        <v>13015</v>
      </c>
      <c r="G167" s="3" t="inlineStr">
        <is>
          <t>編集部</t>
        </is>
      </c>
      <c r="H167" s="3" t="inlineStr">
        <is>
          <t>週刊PRESS</t>
        </is>
      </c>
      <c r="I167" s="9" t="n">
        <v>46005</v>
      </c>
      <c r="J167" s="3" t="inlineStr">
        <is>
          <t>要返却</t>
        </is>
      </c>
      <c r="K167" s="8" t="b">
        <v>0</v>
      </c>
      <c r="L167" s="9" t="n"/>
    </row>
    <row r="168">
      <c r="A168" s="8" t="n">
        <v>167</v>
      </c>
      <c r="B168" s="8" t="n">
        <v>83</v>
      </c>
      <c r="C168" s="3" t="inlineStr">
        <is>
          <t>PRD-0083-3</t>
        </is>
      </c>
      <c r="D168" s="3" t="inlineStr">
        <is>
          <t>掲載誌 3</t>
        </is>
      </c>
      <c r="E168" s="11" t="n">
        <v>12353</v>
      </c>
      <c r="F168" s="11" t="n">
        <v>13588</v>
      </c>
      <c r="G168" s="3" t="inlineStr">
        <is>
          <t>制作部</t>
        </is>
      </c>
      <c r="H168" s="3" t="inlineStr">
        <is>
          <t>月刊メディア</t>
        </is>
      </c>
      <c r="I168" s="9" t="n">
        <v>46004</v>
      </c>
      <c r="J168" s="3" t="inlineStr">
        <is>
          <t>先方確認済み</t>
        </is>
      </c>
      <c r="K168" s="8" t="b">
        <v>1</v>
      </c>
      <c r="L168" s="9" t="n">
        <v>46052</v>
      </c>
    </row>
    <row r="169">
      <c r="A169" s="8" t="n">
        <v>168</v>
      </c>
      <c r="B169" s="8" t="n">
        <v>84</v>
      </c>
      <c r="C169" s="3" t="inlineStr">
        <is>
          <t>PRD-0084-1</t>
        </is>
      </c>
      <c r="D169" s="3" t="inlineStr">
        <is>
          <t>広報写真 1</t>
        </is>
      </c>
      <c r="E169" s="11" t="n">
        <v>11628</v>
      </c>
      <c r="F169" s="11" t="n">
        <v>12791</v>
      </c>
      <c r="G169" s="3" t="inlineStr">
        <is>
          <t>編集部</t>
        </is>
      </c>
      <c r="H169" s="3" t="inlineStr">
        <is>
          <t>週刊PRESS</t>
        </is>
      </c>
      <c r="I169" s="9" t="n">
        <v>46007</v>
      </c>
      <c r="J169" s="3" t="inlineStr">
        <is>
          <t>要返却</t>
        </is>
      </c>
      <c r="K169" s="8" t="b">
        <v>0</v>
      </c>
      <c r="L169" s="9" t="n"/>
    </row>
    <row r="170">
      <c r="A170" s="8" t="n">
        <v>169</v>
      </c>
      <c r="B170" s="8" t="n">
        <v>85</v>
      </c>
      <c r="C170" s="3" t="inlineStr">
        <is>
          <t>PRD-0085-1</t>
        </is>
      </c>
      <c r="D170" s="3" t="inlineStr">
        <is>
          <t>掲載誌 1</t>
        </is>
      </c>
      <c r="E170" s="11" t="n">
        <v>11945</v>
      </c>
      <c r="F170" s="11" t="n">
        <v>13140</v>
      </c>
      <c r="G170" s="3" t="inlineStr">
        <is>
          <t>制作部</t>
        </is>
      </c>
      <c r="H170" s="3" t="inlineStr">
        <is>
          <t>月刊メディア</t>
        </is>
      </c>
      <c r="I170" s="9" t="n">
        <v>46008</v>
      </c>
      <c r="J170" s="3" t="inlineStr">
        <is>
          <t>先方確認済み</t>
        </is>
      </c>
      <c r="K170" s="8" t="b">
        <v>1</v>
      </c>
      <c r="L170" s="9" t="n">
        <v>46060</v>
      </c>
    </row>
    <row r="171">
      <c r="A171" s="8" t="n">
        <v>170</v>
      </c>
      <c r="B171" s="8" t="n">
        <v>85</v>
      </c>
      <c r="C171" s="3" t="inlineStr">
        <is>
          <t>PRD-0085-2</t>
        </is>
      </c>
      <c r="D171" s="3" t="inlineStr">
        <is>
          <t>校正紙 2</t>
        </is>
      </c>
      <c r="E171" s="11" t="n">
        <v>12466</v>
      </c>
      <c r="F171" s="11" t="n">
        <v>13713</v>
      </c>
      <c r="G171" s="3" t="inlineStr">
        <is>
          <t>宣伝課</t>
        </is>
      </c>
      <c r="H171" s="3" t="inlineStr">
        <is>
          <t>ニュースWave</t>
        </is>
      </c>
      <c r="I171" s="9" t="n">
        <v>46007</v>
      </c>
      <c r="J171" s="3" t="inlineStr">
        <is>
          <t>再送不可</t>
        </is>
      </c>
      <c r="K171" s="8" t="b">
        <v>1</v>
      </c>
      <c r="L171" s="9" t="n">
        <v>46059</v>
      </c>
    </row>
    <row r="172">
      <c r="A172" s="8" t="n">
        <v>171</v>
      </c>
      <c r="B172" s="8" t="n">
        <v>86</v>
      </c>
      <c r="C172" s="3" t="inlineStr">
        <is>
          <t>PRD-0086-1</t>
        </is>
      </c>
      <c r="D172" s="3" t="inlineStr">
        <is>
          <t>校正紙 1</t>
        </is>
      </c>
      <c r="E172" s="11" t="n">
        <v>12262</v>
      </c>
      <c r="F172" s="11" t="n">
        <v>13488</v>
      </c>
      <c r="G172" s="3" t="inlineStr">
        <is>
          <t>宣伝課</t>
        </is>
      </c>
      <c r="H172" s="3" t="inlineStr">
        <is>
          <t>ニュースWave</t>
        </is>
      </c>
      <c r="I172" s="9" t="n">
        <v>46009</v>
      </c>
      <c r="J172" s="3" t="inlineStr">
        <is>
          <t>再送不可</t>
        </is>
      </c>
      <c r="K172" s="8" t="b">
        <v>1</v>
      </c>
      <c r="L172" s="9" t="n">
        <v>46063</v>
      </c>
    </row>
    <row r="173">
      <c r="A173" s="8" t="n">
        <v>172</v>
      </c>
      <c r="B173" s="8" t="n">
        <v>86</v>
      </c>
      <c r="C173" s="3" t="inlineStr">
        <is>
          <t>PRD-0086-2</t>
        </is>
      </c>
      <c r="D173" s="3" t="inlineStr">
        <is>
          <t>ノベルティ 2</t>
        </is>
      </c>
      <c r="E173" s="11" t="n">
        <v>12783</v>
      </c>
      <c r="F173" s="11" t="n">
        <v>14061</v>
      </c>
      <c r="G173" s="3" t="inlineStr">
        <is>
          <t>営業部</t>
        </is>
      </c>
      <c r="H173" s="3" t="inlineStr">
        <is>
          <t>Biz Journal</t>
        </is>
      </c>
      <c r="I173" s="9" t="n">
        <v>46008</v>
      </c>
      <c r="J173" s="3" t="inlineStr">
        <is>
          <t>折れ注意</t>
        </is>
      </c>
      <c r="K173" s="8" t="b">
        <v>1</v>
      </c>
      <c r="L173" s="9" t="n">
        <v>46062</v>
      </c>
    </row>
    <row r="174">
      <c r="A174" s="8" t="n">
        <v>173</v>
      </c>
      <c r="B174" s="8" t="n">
        <v>86</v>
      </c>
      <c r="C174" s="3" t="inlineStr">
        <is>
          <t>PRD-0086-3</t>
        </is>
      </c>
      <c r="D174" s="3" t="inlineStr">
        <is>
          <t>プレスキット 3</t>
        </is>
      </c>
      <c r="E174" s="11" t="n">
        <v>13304</v>
      </c>
      <c r="F174" s="11" t="n">
        <v>14634</v>
      </c>
      <c r="G174" s="3" t="inlineStr">
        <is>
          <t>広告代理店A</t>
        </is>
      </c>
      <c r="H174" s="3" t="inlineStr">
        <is>
          <t>Tech Line</t>
        </is>
      </c>
      <c r="I174" s="9" t="n">
        <v>46007</v>
      </c>
      <c r="J174" s="3" t="inlineStr">
        <is>
          <t>機密資料を含む</t>
        </is>
      </c>
      <c r="K174" s="8" t="b">
        <v>0</v>
      </c>
      <c r="L174" s="9" t="n"/>
    </row>
    <row r="175">
      <c r="A175" s="8" t="n">
        <v>174</v>
      </c>
      <c r="B175" s="8" t="n">
        <v>87</v>
      </c>
      <c r="C175" s="3" t="inlineStr">
        <is>
          <t>PRD-0087-1</t>
        </is>
      </c>
      <c r="D175" s="3" t="inlineStr">
        <is>
          <t>ノベルティ 1</t>
        </is>
      </c>
      <c r="E175" s="11" t="n">
        <v>12579</v>
      </c>
      <c r="F175" s="11" t="n">
        <v>13837</v>
      </c>
      <c r="G175" s="3" t="inlineStr">
        <is>
          <t>営業部</t>
        </is>
      </c>
      <c r="H175" s="3" t="inlineStr">
        <is>
          <t>Biz Journal</t>
        </is>
      </c>
      <c r="I175" s="9" t="n">
        <v>46010</v>
      </c>
      <c r="J175" s="3" t="inlineStr">
        <is>
          <t>折れ注意</t>
        </is>
      </c>
      <c r="K175" s="8" t="b">
        <v>1</v>
      </c>
      <c r="L175" s="9" t="n">
        <v>46066</v>
      </c>
    </row>
    <row r="176">
      <c r="A176" s="8" t="n">
        <v>175</v>
      </c>
      <c r="B176" s="8" t="n">
        <v>88</v>
      </c>
      <c r="C176" s="3" t="inlineStr">
        <is>
          <t>PRD-0088-1</t>
        </is>
      </c>
      <c r="D176" s="3" t="inlineStr">
        <is>
          <t>プレスキット 1</t>
        </is>
      </c>
      <c r="E176" s="11" t="n">
        <v>12896</v>
      </c>
      <c r="F176" s="11" t="n">
        <v>14186</v>
      </c>
      <c r="G176" s="3" t="inlineStr">
        <is>
          <t>広告代理店A</t>
        </is>
      </c>
      <c r="H176" s="3" t="inlineStr">
        <is>
          <t>Tech Line</t>
        </is>
      </c>
      <c r="I176" s="9" t="n">
        <v>46011</v>
      </c>
      <c r="J176" s="3" t="inlineStr">
        <is>
          <t>機密資料を含む</t>
        </is>
      </c>
      <c r="K176" s="8" t="b">
        <v>0</v>
      </c>
      <c r="L176" s="9" t="n"/>
    </row>
    <row r="177">
      <c r="A177" s="8" t="n">
        <v>176</v>
      </c>
      <c r="B177" s="8" t="n">
        <v>88</v>
      </c>
      <c r="C177" s="3" t="inlineStr">
        <is>
          <t>PRD-0088-2</t>
        </is>
      </c>
      <c r="D177" s="3" t="inlineStr">
        <is>
          <t>販促POP 2</t>
        </is>
      </c>
      <c r="E177" s="11" t="n">
        <v>13417</v>
      </c>
      <c r="F177" s="11" t="n">
        <v>14759</v>
      </c>
      <c r="G177" s="3" t="inlineStr">
        <is>
          <t>広告代理店B</t>
        </is>
      </c>
      <c r="H177" s="3" t="inlineStr">
        <is>
          <t>生活スタイル</t>
        </is>
      </c>
      <c r="I177" s="9" t="n">
        <v>46010</v>
      </c>
      <c r="J177" s="3" t="inlineStr">
        <is>
          <t>予備あり</t>
        </is>
      </c>
      <c r="K177" s="8" t="b">
        <v>1</v>
      </c>
      <c r="L177" s="9" t="n">
        <v>46060</v>
      </c>
    </row>
    <row r="178">
      <c r="A178" s="8" t="n">
        <v>177</v>
      </c>
      <c r="B178" s="8" t="n">
        <v>89</v>
      </c>
      <c r="C178" s="3" t="inlineStr">
        <is>
          <t>PRD-0089-1</t>
        </is>
      </c>
      <c r="D178" s="3" t="inlineStr">
        <is>
          <t>販促POP 1</t>
        </is>
      </c>
      <c r="E178" s="11" t="n">
        <v>13213</v>
      </c>
      <c r="F178" s="11" t="n">
        <v>14534</v>
      </c>
      <c r="G178" s="3" t="inlineStr">
        <is>
          <t>広告代理店B</t>
        </is>
      </c>
      <c r="H178" s="3" t="inlineStr">
        <is>
          <t>生活スタイル</t>
        </is>
      </c>
      <c r="I178" s="9" t="n">
        <v>46012</v>
      </c>
      <c r="J178" s="3" t="inlineStr">
        <is>
          <t>予備あり</t>
        </is>
      </c>
      <c r="K178" s="8" t="b">
        <v>1</v>
      </c>
      <c r="L178" s="9" t="n">
        <v>46064</v>
      </c>
    </row>
    <row r="179">
      <c r="A179" s="8" t="n">
        <v>178</v>
      </c>
      <c r="B179" s="8" t="n">
        <v>89</v>
      </c>
      <c r="C179" s="3" t="inlineStr">
        <is>
          <t>PRD-0089-2</t>
        </is>
      </c>
      <c r="D179" s="3" t="inlineStr">
        <is>
          <t>取材資料 2</t>
        </is>
      </c>
      <c r="E179" s="11" t="n">
        <v>13734</v>
      </c>
      <c r="F179" s="11" t="n">
        <v>15107</v>
      </c>
      <c r="G179" s="3" t="inlineStr">
        <is>
          <t>編集部</t>
        </is>
      </c>
      <c r="H179" s="3" t="inlineStr">
        <is>
          <t>カルチャー通信</t>
        </is>
      </c>
      <c r="I179" s="9" t="n">
        <v>46056</v>
      </c>
      <c r="J179" s="3" t="inlineStr">
        <is>
          <t>急ぎ対応</t>
        </is>
      </c>
      <c r="K179" s="8" t="b">
        <v>1</v>
      </c>
      <c r="L179" s="9" t="n">
        <v>46063</v>
      </c>
    </row>
    <row r="180">
      <c r="A180" s="8" t="n">
        <v>179</v>
      </c>
      <c r="B180" s="8" t="n">
        <v>89</v>
      </c>
      <c r="C180" s="3" t="inlineStr">
        <is>
          <t>PRD-0089-3</t>
        </is>
      </c>
      <c r="D180" s="3" t="inlineStr">
        <is>
          <t>サンプル冊子 3</t>
        </is>
      </c>
      <c r="E180" s="11" t="n">
        <v>14255</v>
      </c>
      <c r="F180" s="11" t="n">
        <v>15681</v>
      </c>
      <c r="G180" s="3" t="inlineStr">
        <is>
          <t>制作部</t>
        </is>
      </c>
      <c r="H180" s="3" t="inlineStr">
        <is>
          <t>週刊PRESS</t>
        </is>
      </c>
      <c r="I180" s="9" t="n">
        <v>46055</v>
      </c>
      <c r="J180" s="3" t="inlineStr">
        <is>
          <t>要返却</t>
        </is>
      </c>
      <c r="K180" s="8" t="b">
        <v>1</v>
      </c>
      <c r="L180" s="9" t="n">
        <v>46062</v>
      </c>
    </row>
    <row r="181">
      <c r="A181" s="8" t="n">
        <v>180</v>
      </c>
      <c r="B181" s="8" t="n">
        <v>90</v>
      </c>
      <c r="C181" s="3" t="inlineStr">
        <is>
          <t>PRD-0090-1</t>
        </is>
      </c>
      <c r="D181" s="3" t="inlineStr">
        <is>
          <t>取材資料 1</t>
        </is>
      </c>
      <c r="E181" s="11" t="n">
        <v>13530</v>
      </c>
      <c r="F181" s="11" t="n">
        <v>14883</v>
      </c>
      <c r="G181" s="3" t="inlineStr">
        <is>
          <t>編集部</t>
        </is>
      </c>
      <c r="H181" s="3" t="inlineStr">
        <is>
          <t>カルチャー通信</t>
        </is>
      </c>
      <c r="I181" s="9" t="n">
        <v>46058</v>
      </c>
      <c r="J181" s="3" t="inlineStr">
        <is>
          <t>急ぎ対応</t>
        </is>
      </c>
      <c r="K181" s="8" t="b">
        <v>1</v>
      </c>
      <c r="L181" s="9" t="n">
        <v>46067</v>
      </c>
    </row>
    <row r="182">
      <c r="A182" s="8" t="n">
        <v>181</v>
      </c>
      <c r="B182" s="8" t="n">
        <v>91</v>
      </c>
      <c r="C182" s="3" t="inlineStr">
        <is>
          <t>PRD-0091-1</t>
        </is>
      </c>
      <c r="D182" s="3" t="inlineStr">
        <is>
          <t>サンプル冊子 1</t>
        </is>
      </c>
      <c r="E182" s="11" t="n">
        <v>13847</v>
      </c>
      <c r="F182" s="11" t="n">
        <v>15232</v>
      </c>
      <c r="G182" s="3" t="inlineStr">
        <is>
          <t>制作部</t>
        </is>
      </c>
      <c r="H182" s="3" t="inlineStr">
        <is>
          <t>週刊PRESS</t>
        </is>
      </c>
      <c r="I182" s="9" t="n">
        <v>46059</v>
      </c>
      <c r="J182" s="3" t="inlineStr">
        <is>
          <t>要返却</t>
        </is>
      </c>
      <c r="K182" s="8" t="b">
        <v>1</v>
      </c>
      <c r="L182" s="9" t="n">
        <v>46070</v>
      </c>
    </row>
    <row r="183">
      <c r="A183" s="8" t="n">
        <v>182</v>
      </c>
      <c r="B183" s="8" t="n">
        <v>91</v>
      </c>
      <c r="C183" s="3" t="inlineStr">
        <is>
          <t>PRD-0091-2</t>
        </is>
      </c>
      <c r="D183" s="3" t="inlineStr">
        <is>
          <t>広報写真 2</t>
        </is>
      </c>
      <c r="E183" s="11" t="n">
        <v>14368</v>
      </c>
      <c r="F183" s="11" t="n">
        <v>15805</v>
      </c>
      <c r="G183" s="3" t="inlineStr">
        <is>
          <t>宣伝課</t>
        </is>
      </c>
      <c r="H183" s="3" t="inlineStr">
        <is>
          <t>月刊メディア</t>
        </is>
      </c>
      <c r="I183" s="9" t="n">
        <v>46058</v>
      </c>
      <c r="J183" s="3" t="inlineStr">
        <is>
          <t>先方確認済み</t>
        </is>
      </c>
      <c r="K183" s="8" t="b">
        <v>0</v>
      </c>
      <c r="L183" s="9" t="n"/>
    </row>
    <row r="184">
      <c r="A184" s="8" t="n">
        <v>183</v>
      </c>
      <c r="B184" s="8" t="n">
        <v>92</v>
      </c>
      <c r="C184" s="3" t="inlineStr">
        <is>
          <t>PRD-0092-1</t>
        </is>
      </c>
      <c r="D184" s="3" t="inlineStr">
        <is>
          <t>広報写真 1</t>
        </is>
      </c>
      <c r="E184" s="11" t="n">
        <v>14164</v>
      </c>
      <c r="F184" s="11" t="n">
        <v>15580</v>
      </c>
      <c r="G184" s="3" t="inlineStr">
        <is>
          <t>宣伝課</t>
        </is>
      </c>
      <c r="H184" s="3" t="inlineStr">
        <is>
          <t>月刊メディア</t>
        </is>
      </c>
      <c r="I184" s="9" t="n">
        <v>46060</v>
      </c>
      <c r="J184" s="3" t="inlineStr">
        <is>
          <t>先方確認済み</t>
        </is>
      </c>
      <c r="K184" s="8" t="b">
        <v>0</v>
      </c>
      <c r="L184" s="9" t="n"/>
    </row>
    <row r="185">
      <c r="A185" s="8" t="n">
        <v>184</v>
      </c>
      <c r="B185" s="8" t="n">
        <v>92</v>
      </c>
      <c r="C185" s="3" t="inlineStr">
        <is>
          <t>PRD-0092-2</t>
        </is>
      </c>
      <c r="D185" s="3" t="inlineStr">
        <is>
          <t>掲載誌 2</t>
        </is>
      </c>
      <c r="E185" s="11" t="n">
        <v>14685</v>
      </c>
      <c r="F185" s="11" t="n">
        <v>16154</v>
      </c>
      <c r="G185" s="3" t="inlineStr">
        <is>
          <t>営業部</t>
        </is>
      </c>
      <c r="H185" s="3" t="inlineStr">
        <is>
          <t>ニュースWave</t>
        </is>
      </c>
      <c r="I185" s="9" t="n">
        <v>46059</v>
      </c>
      <c r="J185" s="3" t="inlineStr">
        <is>
          <t>再送不可</t>
        </is>
      </c>
      <c r="K185" s="8" t="b">
        <v>1</v>
      </c>
      <c r="L185" s="9" t="n">
        <v>46072</v>
      </c>
    </row>
    <row r="186">
      <c r="A186" s="8" t="n">
        <v>185</v>
      </c>
      <c r="B186" s="8" t="n">
        <v>92</v>
      </c>
      <c r="C186" s="3" t="inlineStr">
        <is>
          <t>PRD-0092-3</t>
        </is>
      </c>
      <c r="D186" s="3" t="inlineStr">
        <is>
          <t>校正紙 3</t>
        </is>
      </c>
      <c r="E186" s="11" t="n">
        <v>15206</v>
      </c>
      <c r="F186" s="11" t="n">
        <v>16727</v>
      </c>
      <c r="G186" s="3" t="inlineStr">
        <is>
          <t>広告代理店A</t>
        </is>
      </c>
      <c r="H186" s="3" t="inlineStr">
        <is>
          <t>Biz Journal</t>
        </is>
      </c>
      <c r="I186" s="9" t="n">
        <v>46058</v>
      </c>
      <c r="J186" s="3" t="inlineStr">
        <is>
          <t>折れ注意</t>
        </is>
      </c>
      <c r="K186" s="8" t="b">
        <v>1</v>
      </c>
      <c r="L186" s="9" t="n">
        <v>46071</v>
      </c>
    </row>
    <row r="187">
      <c r="A187" s="8" t="n">
        <v>186</v>
      </c>
      <c r="B187" s="8" t="n">
        <v>93</v>
      </c>
      <c r="C187" s="3" t="inlineStr">
        <is>
          <t>PRD-0093-1</t>
        </is>
      </c>
      <c r="D187" s="3" t="inlineStr">
        <is>
          <t>掲載誌 1</t>
        </is>
      </c>
      <c r="E187" s="11" t="n">
        <v>14481</v>
      </c>
      <c r="F187" s="11" t="n">
        <v>15929</v>
      </c>
      <c r="G187" s="3" t="inlineStr">
        <is>
          <t>営業部</t>
        </is>
      </c>
      <c r="H187" s="3" t="inlineStr">
        <is>
          <t>ニュースWave</t>
        </is>
      </c>
      <c r="I187" s="9" t="n">
        <v>46061</v>
      </c>
      <c r="J187" s="3" t="inlineStr">
        <is>
          <t>再送不可</t>
        </is>
      </c>
      <c r="K187" s="8" t="b">
        <v>1</v>
      </c>
      <c r="L187" s="9" t="n">
        <v>46076</v>
      </c>
    </row>
    <row r="188">
      <c r="A188" s="8" t="n">
        <v>187</v>
      </c>
      <c r="B188" s="8" t="n">
        <v>94</v>
      </c>
      <c r="C188" s="3" t="inlineStr">
        <is>
          <t>PRD-0094-1</t>
        </is>
      </c>
      <c r="D188" s="3" t="inlineStr">
        <is>
          <t>校正紙 1</t>
        </is>
      </c>
      <c r="E188" s="11" t="n">
        <v>14798</v>
      </c>
      <c r="F188" s="11" t="n">
        <v>16278</v>
      </c>
      <c r="G188" s="3" t="inlineStr">
        <is>
          <t>広告代理店A</t>
        </is>
      </c>
      <c r="H188" s="3" t="inlineStr">
        <is>
          <t>Biz Journal</t>
        </is>
      </c>
      <c r="I188" s="9" t="n">
        <v>46062</v>
      </c>
      <c r="J188" s="3" t="inlineStr">
        <is>
          <t>折れ注意</t>
        </is>
      </c>
      <c r="K188" s="8" t="b">
        <v>1</v>
      </c>
      <c r="L188" s="9" t="n">
        <v>46079</v>
      </c>
    </row>
    <row r="189">
      <c r="A189" s="8" t="n">
        <v>188</v>
      </c>
      <c r="B189" s="8" t="n">
        <v>94</v>
      </c>
      <c r="C189" s="3" t="inlineStr">
        <is>
          <t>PRD-0094-2</t>
        </is>
      </c>
      <c r="D189" s="3" t="inlineStr">
        <is>
          <t>ノベルティ 2</t>
        </is>
      </c>
      <c r="E189" s="11" t="n">
        <v>15319</v>
      </c>
      <c r="F189" s="11" t="n">
        <v>16851</v>
      </c>
      <c r="G189" s="3" t="inlineStr">
        <is>
          <t>広告代理店B</t>
        </is>
      </c>
      <c r="H189" s="3" t="inlineStr">
        <is>
          <t>Tech Line</t>
        </is>
      </c>
      <c r="I189" s="9" t="n">
        <v>46061</v>
      </c>
      <c r="J189" s="3" t="inlineStr">
        <is>
          <t>機密資料を含む</t>
        </is>
      </c>
      <c r="K189" s="8" t="b">
        <v>1</v>
      </c>
      <c r="L189" s="9" t="n">
        <v>46078</v>
      </c>
    </row>
    <row r="190">
      <c r="A190" s="8" t="n">
        <v>189</v>
      </c>
      <c r="B190" s="8" t="n">
        <v>95</v>
      </c>
      <c r="C190" s="3" t="inlineStr">
        <is>
          <t>PRD-0095-1</t>
        </is>
      </c>
      <c r="D190" s="3" t="inlineStr">
        <is>
          <t>ノベルティ 1</t>
        </is>
      </c>
      <c r="E190" s="11" t="n">
        <v>15115</v>
      </c>
      <c r="F190" s="11" t="n">
        <v>16626</v>
      </c>
      <c r="G190" s="3" t="inlineStr">
        <is>
          <t>広告代理店B</t>
        </is>
      </c>
      <c r="H190" s="3" t="inlineStr">
        <is>
          <t>Tech Line</t>
        </is>
      </c>
      <c r="I190" s="9" t="n">
        <v>46063</v>
      </c>
      <c r="J190" s="3" t="inlineStr">
        <is>
          <t>機密資料を含む</t>
        </is>
      </c>
      <c r="K190" s="8" t="b">
        <v>1</v>
      </c>
      <c r="L190" s="9" t="n">
        <v>46082</v>
      </c>
    </row>
    <row r="191">
      <c r="A191" s="8" t="n">
        <v>190</v>
      </c>
      <c r="B191" s="8" t="n">
        <v>95</v>
      </c>
      <c r="C191" s="3" t="inlineStr">
        <is>
          <t>PRD-0095-2</t>
        </is>
      </c>
      <c r="D191" s="3" t="inlineStr">
        <is>
          <t>プレスキット 2</t>
        </is>
      </c>
      <c r="E191" s="11" t="n">
        <v>15636</v>
      </c>
      <c r="F191" s="11" t="n">
        <v>17200</v>
      </c>
      <c r="G191" s="3" t="inlineStr">
        <is>
          <t>編集部</t>
        </is>
      </c>
      <c r="H191" s="3" t="inlineStr">
        <is>
          <t>生活スタイル</t>
        </is>
      </c>
      <c r="I191" s="9" t="n">
        <v>46062</v>
      </c>
      <c r="J191" s="3" t="inlineStr">
        <is>
          <t>予備あり</t>
        </is>
      </c>
      <c r="K191" s="8" t="b">
        <v>0</v>
      </c>
      <c r="L191" s="9" t="n"/>
    </row>
    <row r="192">
      <c r="A192" s="8" t="n">
        <v>191</v>
      </c>
      <c r="B192" s="8" t="n">
        <v>95</v>
      </c>
      <c r="C192" s="3" t="inlineStr">
        <is>
          <t>PRD-0095-3</t>
        </is>
      </c>
      <c r="D192" s="3" t="inlineStr">
        <is>
          <t>販促POP 3</t>
        </is>
      </c>
      <c r="E192" s="11" t="n">
        <v>16157</v>
      </c>
      <c r="F192" s="11" t="n">
        <v>17773</v>
      </c>
      <c r="G192" s="3" t="inlineStr">
        <is>
          <t>制作部</t>
        </is>
      </c>
      <c r="H192" s="3" t="inlineStr">
        <is>
          <t>カルチャー通信</t>
        </is>
      </c>
      <c r="I192" s="9" t="n">
        <v>46061</v>
      </c>
      <c r="J192" s="3" t="inlineStr">
        <is>
          <t>急ぎ対応</t>
        </is>
      </c>
      <c r="K192" s="8" t="b">
        <v>1</v>
      </c>
      <c r="L192" s="9" t="n">
        <v>46080</v>
      </c>
    </row>
    <row r="193">
      <c r="A193" s="8" t="n">
        <v>192</v>
      </c>
      <c r="B193" s="8" t="n">
        <v>96</v>
      </c>
      <c r="C193" s="3" t="inlineStr">
        <is>
          <t>PRD-0096-1</t>
        </is>
      </c>
      <c r="D193" s="3" t="inlineStr">
        <is>
          <t>プレスキット 1</t>
        </is>
      </c>
      <c r="E193" s="11" t="n">
        <v>15432</v>
      </c>
      <c r="F193" s="11" t="n">
        <v>16975</v>
      </c>
      <c r="G193" s="3" t="inlineStr">
        <is>
          <t>編集部</t>
        </is>
      </c>
      <c r="H193" s="3" t="inlineStr">
        <is>
          <t>生活スタイル</t>
        </is>
      </c>
      <c r="I193" s="9" t="n">
        <v>46064</v>
      </c>
      <c r="J193" s="3" t="inlineStr">
        <is>
          <t>予備あり</t>
        </is>
      </c>
      <c r="K193" s="8" t="b">
        <v>0</v>
      </c>
      <c r="L193" s="9" t="n"/>
    </row>
    <row r="194">
      <c r="A194" s="8" t="n">
        <v>193</v>
      </c>
      <c r="B194" s="8" t="n">
        <v>97</v>
      </c>
      <c r="C194" s="3" t="inlineStr">
        <is>
          <t>PRD-0097-1</t>
        </is>
      </c>
      <c r="D194" s="3" t="inlineStr">
        <is>
          <t>販促POP 1</t>
        </is>
      </c>
      <c r="E194" s="11" t="n">
        <v>15749</v>
      </c>
      <c r="F194" s="11" t="n">
        <v>17324</v>
      </c>
      <c r="G194" s="3" t="inlineStr">
        <is>
          <t>制作部</t>
        </is>
      </c>
      <c r="H194" s="3" t="inlineStr">
        <is>
          <t>カルチャー通信</t>
        </is>
      </c>
      <c r="I194" s="9" t="n">
        <v>46065</v>
      </c>
      <c r="J194" s="3" t="inlineStr">
        <is>
          <t>急ぎ対応</t>
        </is>
      </c>
      <c r="K194" s="8" t="b">
        <v>1</v>
      </c>
      <c r="L194" s="9" t="n">
        <v>46080</v>
      </c>
    </row>
    <row r="195">
      <c r="A195" s="8" t="n">
        <v>194</v>
      </c>
      <c r="B195" s="8" t="n">
        <v>97</v>
      </c>
      <c r="C195" s="3" t="inlineStr">
        <is>
          <t>PRD-0097-2</t>
        </is>
      </c>
      <c r="D195" s="3" t="inlineStr">
        <is>
          <t>取材資料 2</t>
        </is>
      </c>
      <c r="E195" s="11" t="n">
        <v>16270</v>
      </c>
      <c r="F195" s="11" t="n">
        <v>17897</v>
      </c>
      <c r="G195" s="3" t="inlineStr">
        <is>
          <t>宣伝課</t>
        </is>
      </c>
      <c r="H195" s="3" t="inlineStr">
        <is>
          <t>週刊PRESS</t>
        </is>
      </c>
      <c r="I195" s="9" t="n">
        <v>46064</v>
      </c>
      <c r="J195" s="3" t="inlineStr">
        <is>
          <t>要返却</t>
        </is>
      </c>
      <c r="K195" s="8" t="b">
        <v>1</v>
      </c>
      <c r="L195" s="9" t="n">
        <v>46079</v>
      </c>
    </row>
    <row r="196">
      <c r="A196" s="8" t="n">
        <v>195</v>
      </c>
      <c r="B196" s="8" t="n">
        <v>98</v>
      </c>
      <c r="C196" s="3" t="inlineStr">
        <is>
          <t>PRD-0098-1</t>
        </is>
      </c>
      <c r="D196" s="3" t="inlineStr">
        <is>
          <t>取材資料 1</t>
        </is>
      </c>
      <c r="E196" s="11" t="n">
        <v>16066</v>
      </c>
      <c r="F196" s="11" t="n">
        <v>17673</v>
      </c>
      <c r="G196" s="3" t="inlineStr">
        <is>
          <t>宣伝課</t>
        </is>
      </c>
      <c r="H196" s="3" t="inlineStr">
        <is>
          <t>週刊PRESS</t>
        </is>
      </c>
      <c r="I196" s="9" t="n">
        <v>46066</v>
      </c>
      <c r="J196" s="3" t="inlineStr">
        <is>
          <t>要返却</t>
        </is>
      </c>
      <c r="K196" s="8" t="b">
        <v>1</v>
      </c>
      <c r="L196" s="9" t="n">
        <v>46083</v>
      </c>
    </row>
    <row r="197">
      <c r="A197" s="8" t="n">
        <v>196</v>
      </c>
      <c r="B197" s="8" t="n">
        <v>98</v>
      </c>
      <c r="C197" s="3" t="inlineStr">
        <is>
          <t>PRD-0098-2</t>
        </is>
      </c>
      <c r="D197" s="3" t="inlineStr">
        <is>
          <t>サンプル冊子 2</t>
        </is>
      </c>
      <c r="E197" s="11" t="n">
        <v>16587</v>
      </c>
      <c r="F197" s="11" t="n">
        <v>18246</v>
      </c>
      <c r="G197" s="3" t="inlineStr">
        <is>
          <t>営業部</t>
        </is>
      </c>
      <c r="H197" s="3" t="inlineStr">
        <is>
          <t>月刊メディア</t>
        </is>
      </c>
      <c r="I197" s="9" t="n">
        <v>46065</v>
      </c>
      <c r="J197" s="3" t="inlineStr">
        <is>
          <t>先方確認済み</t>
        </is>
      </c>
      <c r="K197" s="8" t="b">
        <v>1</v>
      </c>
      <c r="L197" s="9" t="n">
        <v>46082</v>
      </c>
    </row>
    <row r="198">
      <c r="A198" s="8" t="n">
        <v>197</v>
      </c>
      <c r="B198" s="8" t="n">
        <v>98</v>
      </c>
      <c r="C198" s="3" t="inlineStr">
        <is>
          <t>PRD-0098-3</t>
        </is>
      </c>
      <c r="D198" s="3" t="inlineStr">
        <is>
          <t>広報写真 3</t>
        </is>
      </c>
      <c r="E198" s="11" t="n">
        <v>17108</v>
      </c>
      <c r="F198" s="11" t="n">
        <v>18819</v>
      </c>
      <c r="G198" s="3" t="inlineStr">
        <is>
          <t>広告代理店A</t>
        </is>
      </c>
      <c r="H198" s="3" t="inlineStr">
        <is>
          <t>ニュースWave</t>
        </is>
      </c>
      <c r="I198" s="9" t="n">
        <v>46064</v>
      </c>
      <c r="J198" s="3" t="inlineStr">
        <is>
          <t>再送不可</t>
        </is>
      </c>
      <c r="K198" s="8" t="b">
        <v>0</v>
      </c>
      <c r="L198" s="9" t="n"/>
    </row>
    <row r="199">
      <c r="A199" s="8" t="n">
        <v>198</v>
      </c>
      <c r="B199" s="8" t="n">
        <v>99</v>
      </c>
      <c r="C199" s="3" t="inlineStr">
        <is>
          <t>PRD-0099-1</t>
        </is>
      </c>
      <c r="D199" s="3" t="inlineStr">
        <is>
          <t>サンプル冊子 1</t>
        </is>
      </c>
      <c r="E199" s="11" t="n">
        <v>16383</v>
      </c>
      <c r="F199" s="11" t="n">
        <v>18021</v>
      </c>
      <c r="G199" s="3" t="inlineStr">
        <is>
          <t>営業部</t>
        </is>
      </c>
      <c r="H199" s="3" t="inlineStr">
        <is>
          <t>月刊メディア</t>
        </is>
      </c>
      <c r="I199" s="9" t="n">
        <v>46067</v>
      </c>
      <c r="J199" s="3" t="inlineStr">
        <is>
          <t>先方確認済み</t>
        </is>
      </c>
      <c r="K199" s="8" t="b">
        <v>1</v>
      </c>
      <c r="L199" s="9" t="n">
        <v>46086</v>
      </c>
    </row>
    <row r="200">
      <c r="A200" s="8" t="n">
        <v>199</v>
      </c>
      <c r="B200" s="8" t="n">
        <v>100</v>
      </c>
      <c r="C200" s="3" t="inlineStr">
        <is>
          <t>PRD-0100-1</t>
        </is>
      </c>
      <c r="D200" s="3" t="inlineStr">
        <is>
          <t>広報写真 1</t>
        </is>
      </c>
      <c r="E200" s="11" t="n">
        <v>16700</v>
      </c>
      <c r="F200" s="11" t="n">
        <v>18370</v>
      </c>
      <c r="G200" s="3" t="inlineStr">
        <is>
          <t>広告代理店A</t>
        </is>
      </c>
      <c r="H200" s="3" t="inlineStr">
        <is>
          <t>ニュースWave</t>
        </is>
      </c>
      <c r="I200" s="9" t="n">
        <v>46068</v>
      </c>
      <c r="J200" s="3" t="inlineStr">
        <is>
          <t>再送不可</t>
        </is>
      </c>
      <c r="K200" s="8" t="b">
        <v>0</v>
      </c>
      <c r="L200" s="9" t="n"/>
    </row>
    <row r="201">
      <c r="A201" s="8" t="n">
        <v>200</v>
      </c>
      <c r="B201" s="8" t="n">
        <v>100</v>
      </c>
      <c r="C201" s="3" t="inlineStr">
        <is>
          <t>PRD-0100-2</t>
        </is>
      </c>
      <c r="D201" s="3" t="inlineStr">
        <is>
          <t>掲載誌 2</t>
        </is>
      </c>
      <c r="E201" s="11" t="n">
        <v>17221</v>
      </c>
      <c r="F201" s="11" t="n">
        <v>18943</v>
      </c>
      <c r="G201" s="3" t="inlineStr">
        <is>
          <t>広告代理店B</t>
        </is>
      </c>
      <c r="H201" s="3" t="inlineStr">
        <is>
          <t>Biz Journal</t>
        </is>
      </c>
      <c r="I201" s="9" t="n">
        <v>46067</v>
      </c>
      <c r="J201" s="3" t="inlineStr">
        <is>
          <t>折れ注意</t>
        </is>
      </c>
      <c r="K201" s="8" t="b">
        <v>1</v>
      </c>
      <c r="L201" s="9" t="n">
        <v>46088</v>
      </c>
    </row>
    <row r="202">
      <c r="A202" s="8" t="n">
        <v>201</v>
      </c>
      <c r="B202" s="8" t="n">
        <v>101</v>
      </c>
      <c r="C202" s="3" t="inlineStr">
        <is>
          <t>PRD-0101-1</t>
        </is>
      </c>
      <c r="D202" s="3" t="inlineStr">
        <is>
          <t>掲載誌 1</t>
        </is>
      </c>
      <c r="E202" s="11" t="n">
        <v>17017</v>
      </c>
      <c r="F202" s="11" t="n">
        <v>18719</v>
      </c>
      <c r="G202" s="3" t="inlineStr">
        <is>
          <t>広告代理店B</t>
        </is>
      </c>
      <c r="H202" s="3" t="inlineStr">
        <is>
          <t>Biz Journal</t>
        </is>
      </c>
      <c r="I202" s="9" t="n">
        <v>46069</v>
      </c>
      <c r="J202" s="3" t="inlineStr">
        <is>
          <t>折れ注意</t>
        </is>
      </c>
      <c r="K202" s="8" t="b">
        <v>1</v>
      </c>
      <c r="L202" s="9" t="n">
        <v>46092</v>
      </c>
    </row>
    <row r="203">
      <c r="A203" s="8" t="n">
        <v>202</v>
      </c>
      <c r="B203" s="8" t="n">
        <v>101</v>
      </c>
      <c r="C203" s="3" t="inlineStr">
        <is>
          <t>PRD-0101-2</t>
        </is>
      </c>
      <c r="D203" s="3" t="inlineStr">
        <is>
          <t>校正紙 2</t>
        </is>
      </c>
      <c r="E203" s="11" t="n">
        <v>17538</v>
      </c>
      <c r="F203" s="11" t="n">
        <v>19292</v>
      </c>
      <c r="G203" s="3" t="inlineStr">
        <is>
          <t>編集部</t>
        </is>
      </c>
      <c r="H203" s="3" t="inlineStr">
        <is>
          <t>Tech Line</t>
        </is>
      </c>
      <c r="I203" s="9" t="n">
        <v>46068</v>
      </c>
      <c r="J203" s="3" t="inlineStr">
        <is>
          <t>機密資料を含む</t>
        </is>
      </c>
      <c r="K203" s="8" t="b">
        <v>1</v>
      </c>
      <c r="L203" s="9" t="n">
        <v>46091</v>
      </c>
    </row>
    <row r="204">
      <c r="A204" s="8" t="n">
        <v>203</v>
      </c>
      <c r="B204" s="8" t="n">
        <v>101</v>
      </c>
      <c r="C204" s="3" t="inlineStr">
        <is>
          <t>PRD-0101-3</t>
        </is>
      </c>
      <c r="D204" s="3" t="inlineStr">
        <is>
          <t>ノベルティ 3</t>
        </is>
      </c>
      <c r="E204" s="11" t="n">
        <v>18059</v>
      </c>
      <c r="F204" s="11" t="n">
        <v>19865</v>
      </c>
      <c r="G204" s="3" t="inlineStr">
        <is>
          <t>制作部</t>
        </is>
      </c>
      <c r="H204" s="3" t="inlineStr">
        <is>
          <t>生活スタイル</t>
        </is>
      </c>
      <c r="I204" s="9" t="n">
        <v>46067</v>
      </c>
      <c r="J204" s="3" t="inlineStr">
        <is>
          <t>予備あり</t>
        </is>
      </c>
      <c r="K204" s="8" t="b">
        <v>1</v>
      </c>
      <c r="L204" s="9" t="n">
        <v>46090</v>
      </c>
    </row>
    <row r="205">
      <c r="A205" s="8" t="n">
        <v>204</v>
      </c>
      <c r="B205" s="8" t="n">
        <v>102</v>
      </c>
      <c r="C205" s="3" t="inlineStr">
        <is>
          <t>PRD-0102-1</t>
        </is>
      </c>
      <c r="D205" s="3" t="inlineStr">
        <is>
          <t>校正紙 1</t>
        </is>
      </c>
      <c r="E205" s="11" t="n">
        <v>17334</v>
      </c>
      <c r="F205" s="11" t="n">
        <v>19067</v>
      </c>
      <c r="G205" s="3" t="inlineStr">
        <is>
          <t>編集部</t>
        </is>
      </c>
      <c r="H205" s="3" t="inlineStr">
        <is>
          <t>Tech Line</t>
        </is>
      </c>
      <c r="I205" s="9" t="n">
        <v>46070</v>
      </c>
      <c r="J205" s="3" t="inlineStr">
        <is>
          <t>機密資料を含む</t>
        </is>
      </c>
      <c r="K205" s="8" t="b">
        <v>1</v>
      </c>
      <c r="L205" s="9" t="n">
        <v>46095</v>
      </c>
    </row>
    <row r="206">
      <c r="A206" s="8" t="n">
        <v>205</v>
      </c>
      <c r="B206" s="8" t="n">
        <v>103</v>
      </c>
      <c r="C206" s="3" t="inlineStr">
        <is>
          <t>PRD-0103-1</t>
        </is>
      </c>
      <c r="D206" s="3" t="inlineStr">
        <is>
          <t>ノベルティ 1</t>
        </is>
      </c>
      <c r="E206" s="11" t="n">
        <v>17651</v>
      </c>
      <c r="F206" s="11" t="n">
        <v>19416</v>
      </c>
      <c r="G206" s="3" t="inlineStr">
        <is>
          <t>制作部</t>
        </is>
      </c>
      <c r="H206" s="3" t="inlineStr">
        <is>
          <t>生活スタイル</t>
        </is>
      </c>
      <c r="I206" s="9" t="n">
        <v>46071</v>
      </c>
      <c r="J206" s="3" t="inlineStr">
        <is>
          <t>予備あり</t>
        </is>
      </c>
      <c r="K206" s="8" t="b">
        <v>1</v>
      </c>
      <c r="L206" s="9" t="n">
        <v>46098</v>
      </c>
    </row>
    <row r="207">
      <c r="A207" s="8" t="n">
        <v>206</v>
      </c>
      <c r="B207" s="8" t="n">
        <v>103</v>
      </c>
      <c r="C207" s="3" t="inlineStr">
        <is>
          <t>PRD-0103-2</t>
        </is>
      </c>
      <c r="D207" s="3" t="inlineStr">
        <is>
          <t>プレスキット 2</t>
        </is>
      </c>
      <c r="E207" s="11" t="n">
        <v>18172</v>
      </c>
      <c r="F207" s="11" t="n">
        <v>19989</v>
      </c>
      <c r="G207" s="3" t="inlineStr">
        <is>
          <t>宣伝課</t>
        </is>
      </c>
      <c r="H207" s="3" t="inlineStr">
        <is>
          <t>カルチャー通信</t>
        </is>
      </c>
      <c r="I207" s="9" t="n">
        <v>46070</v>
      </c>
      <c r="J207" s="3" t="inlineStr">
        <is>
          <t>急ぎ対応</t>
        </is>
      </c>
      <c r="K207" s="8" t="b">
        <v>0</v>
      </c>
      <c r="L207" s="9" t="n"/>
    </row>
    <row r="208">
      <c r="A208" s="8" t="n">
        <v>207</v>
      </c>
      <c r="B208" s="8" t="n">
        <v>104</v>
      </c>
      <c r="C208" s="3" t="inlineStr">
        <is>
          <t>PRD-0104-1</t>
        </is>
      </c>
      <c r="D208" s="3" t="inlineStr">
        <is>
          <t>プレスキット 1</t>
        </is>
      </c>
      <c r="E208" s="11" t="n">
        <v>17968</v>
      </c>
      <c r="F208" s="11" t="n">
        <v>19765</v>
      </c>
      <c r="G208" s="3" t="inlineStr">
        <is>
          <t>宣伝課</t>
        </is>
      </c>
      <c r="H208" s="3" t="inlineStr">
        <is>
          <t>カルチャー通信</t>
        </is>
      </c>
      <c r="I208" s="9" t="n">
        <v>46072</v>
      </c>
      <c r="J208" s="3" t="inlineStr">
        <is>
          <t>急ぎ対応</t>
        </is>
      </c>
      <c r="K208" s="8" t="b">
        <v>0</v>
      </c>
      <c r="L208" s="9" t="n"/>
    </row>
    <row r="209">
      <c r="A209" s="8" t="n">
        <v>208</v>
      </c>
      <c r="B209" s="8" t="n">
        <v>104</v>
      </c>
      <c r="C209" s="3" t="inlineStr">
        <is>
          <t>PRD-0104-2</t>
        </is>
      </c>
      <c r="D209" s="3" t="inlineStr">
        <is>
          <t>販促POP 2</t>
        </is>
      </c>
      <c r="E209" s="11" t="n">
        <v>18489</v>
      </c>
      <c r="F209" s="11" t="n">
        <v>20338</v>
      </c>
      <c r="G209" s="3" t="inlineStr">
        <is>
          <t>営業部</t>
        </is>
      </c>
      <c r="H209" s="3" t="inlineStr">
        <is>
          <t>週刊PRESS</t>
        </is>
      </c>
      <c r="I209" s="9" t="n">
        <v>46071</v>
      </c>
      <c r="J209" s="3" t="inlineStr">
        <is>
          <t>要返却</t>
        </is>
      </c>
      <c r="K209" s="8" t="b">
        <v>1</v>
      </c>
      <c r="L209" s="9" t="n">
        <v>46092</v>
      </c>
    </row>
    <row r="210">
      <c r="A210" s="8" t="n">
        <v>209</v>
      </c>
      <c r="B210" s="8" t="n">
        <v>104</v>
      </c>
      <c r="C210" s="3" t="inlineStr">
        <is>
          <t>PRD-0104-3</t>
        </is>
      </c>
      <c r="D210" s="3" t="inlineStr">
        <is>
          <t>取材資料 3</t>
        </is>
      </c>
      <c r="E210" s="11" t="n">
        <v>19010</v>
      </c>
      <c r="F210" s="11" t="n">
        <v>20911</v>
      </c>
      <c r="G210" s="3" t="inlineStr">
        <is>
          <t>広告代理店A</t>
        </is>
      </c>
      <c r="H210" s="3" t="inlineStr">
        <is>
          <t>月刊メディア</t>
        </is>
      </c>
      <c r="I210" s="9" t="n">
        <v>46070</v>
      </c>
      <c r="J210" s="3" t="inlineStr">
        <is>
          <t>先方確認済み</t>
        </is>
      </c>
      <c r="K210" s="8" t="b">
        <v>1</v>
      </c>
      <c r="L210" s="9" t="n">
        <v>46091</v>
      </c>
    </row>
    <row r="211">
      <c r="A211" s="8" t="n">
        <v>210</v>
      </c>
      <c r="B211" s="8" t="n">
        <v>105</v>
      </c>
      <c r="C211" s="3" t="inlineStr">
        <is>
          <t>PRD-0105-1</t>
        </is>
      </c>
      <c r="D211" s="3" t="inlineStr">
        <is>
          <t>販促POP 1</t>
        </is>
      </c>
      <c r="E211" s="11" t="n">
        <v>18285</v>
      </c>
      <c r="F211" s="11" t="n">
        <v>20114</v>
      </c>
      <c r="G211" s="3" t="inlineStr">
        <is>
          <t>営業部</t>
        </is>
      </c>
      <c r="H211" s="3" t="inlineStr">
        <is>
          <t>週刊PRESS</t>
        </is>
      </c>
      <c r="I211" s="9" t="n">
        <v>46073</v>
      </c>
      <c r="J211" s="3" t="inlineStr">
        <is>
          <t>要返却</t>
        </is>
      </c>
      <c r="K211" s="8" t="b">
        <v>1</v>
      </c>
      <c r="L211" s="9" t="n">
        <v>46096</v>
      </c>
    </row>
    <row r="212">
      <c r="A212" s="8" t="n">
        <v>211</v>
      </c>
      <c r="B212" s="8" t="n">
        <v>106</v>
      </c>
      <c r="C212" s="3" t="inlineStr">
        <is>
          <t>PRD-0106-1</t>
        </is>
      </c>
      <c r="D212" s="3" t="inlineStr">
        <is>
          <t>取材資料 1</t>
        </is>
      </c>
      <c r="E212" s="11" t="n">
        <v>18602</v>
      </c>
      <c r="F212" s="11" t="n">
        <v>20462</v>
      </c>
      <c r="G212" s="3" t="inlineStr">
        <is>
          <t>広告代理店A</t>
        </is>
      </c>
      <c r="H212" s="3" t="inlineStr">
        <is>
          <t>月刊メディア</t>
        </is>
      </c>
      <c r="I212" s="9" t="n">
        <v>46074</v>
      </c>
      <c r="J212" s="3" t="inlineStr">
        <is>
          <t>先方確認済み</t>
        </is>
      </c>
      <c r="K212" s="8" t="b">
        <v>1</v>
      </c>
      <c r="L212" s="9" t="n">
        <v>46099</v>
      </c>
    </row>
    <row r="213">
      <c r="A213" s="8" t="n">
        <v>212</v>
      </c>
      <c r="B213" s="8" t="n">
        <v>106</v>
      </c>
      <c r="C213" s="3" t="inlineStr">
        <is>
          <t>PRD-0106-2</t>
        </is>
      </c>
      <c r="D213" s="3" t="inlineStr">
        <is>
          <t>サンプル冊子 2</t>
        </is>
      </c>
      <c r="E213" s="11" t="n">
        <v>19123</v>
      </c>
      <c r="F213" s="11" t="n">
        <v>21035</v>
      </c>
      <c r="G213" s="3" t="inlineStr">
        <is>
          <t>広告代理店B</t>
        </is>
      </c>
      <c r="H213" s="3" t="inlineStr">
        <is>
          <t>ニュースWave</t>
        </is>
      </c>
      <c r="I213" s="9" t="n">
        <v>46073</v>
      </c>
      <c r="J213" s="3" t="inlineStr">
        <is>
          <t>再送不可</t>
        </is>
      </c>
      <c r="K213" s="8" t="b">
        <v>1</v>
      </c>
      <c r="L213" s="9" t="n">
        <v>46098</v>
      </c>
    </row>
    <row r="214">
      <c r="A214" s="8" t="n">
        <v>213</v>
      </c>
      <c r="B214" s="8" t="n">
        <v>107</v>
      </c>
      <c r="C214" s="3" t="inlineStr">
        <is>
          <t>PRD-0107-1</t>
        </is>
      </c>
      <c r="D214" s="3" t="inlineStr">
        <is>
          <t>サンプル冊子 1</t>
        </is>
      </c>
      <c r="E214" s="11" t="n">
        <v>18919</v>
      </c>
      <c r="F214" s="11" t="n">
        <v>20811</v>
      </c>
      <c r="G214" s="3" t="inlineStr">
        <is>
          <t>広告代理店B</t>
        </is>
      </c>
      <c r="H214" s="3" t="inlineStr">
        <is>
          <t>ニュースWave</t>
        </is>
      </c>
      <c r="I214" s="9" t="n">
        <v>46075</v>
      </c>
      <c r="J214" s="3" t="inlineStr">
        <is>
          <t>再送不可</t>
        </is>
      </c>
      <c r="K214" s="8" t="b">
        <v>1</v>
      </c>
      <c r="L214" s="9" t="n">
        <v>46102</v>
      </c>
    </row>
    <row r="215">
      <c r="A215" s="8" t="n">
        <v>214</v>
      </c>
      <c r="B215" s="8" t="n">
        <v>107</v>
      </c>
      <c r="C215" s="3" t="inlineStr">
        <is>
          <t>PRD-0107-2</t>
        </is>
      </c>
      <c r="D215" s="3" t="inlineStr">
        <is>
          <t>広報写真 2</t>
        </is>
      </c>
      <c r="E215" s="11" t="n">
        <v>19440</v>
      </c>
      <c r="F215" s="11" t="n">
        <v>21384</v>
      </c>
      <c r="G215" s="3" t="inlineStr">
        <is>
          <t>編集部</t>
        </is>
      </c>
      <c r="H215" s="3" t="inlineStr">
        <is>
          <t>Biz Journal</t>
        </is>
      </c>
      <c r="I215" s="9" t="n">
        <v>46074</v>
      </c>
      <c r="J215" s="3" t="inlineStr">
        <is>
          <t>折れ注意</t>
        </is>
      </c>
      <c r="K215" s="8" t="b">
        <v>0</v>
      </c>
      <c r="L215" s="9" t="n"/>
    </row>
    <row r="216">
      <c r="A216" s="8" t="n">
        <v>215</v>
      </c>
      <c r="B216" s="8" t="n">
        <v>107</v>
      </c>
      <c r="C216" s="3" t="inlineStr">
        <is>
          <t>PRD-0107-3</t>
        </is>
      </c>
      <c r="D216" s="3" t="inlineStr">
        <is>
          <t>掲載誌 3</t>
        </is>
      </c>
      <c r="E216" s="11" t="n">
        <v>19961</v>
      </c>
      <c r="F216" s="11" t="n">
        <v>21957</v>
      </c>
      <c r="G216" s="3" t="inlineStr">
        <is>
          <t>制作部</t>
        </is>
      </c>
      <c r="H216" s="3" t="inlineStr">
        <is>
          <t>Tech Line</t>
        </is>
      </c>
      <c r="I216" s="9" t="n">
        <v>46073</v>
      </c>
      <c r="J216" s="3" t="inlineStr">
        <is>
          <t>機密資料を含む</t>
        </is>
      </c>
      <c r="K216" s="8" t="b">
        <v>1</v>
      </c>
      <c r="L216" s="9" t="n">
        <v>46100</v>
      </c>
    </row>
    <row r="217">
      <c r="A217" s="8" t="n">
        <v>216</v>
      </c>
      <c r="B217" s="8" t="n">
        <v>108</v>
      </c>
      <c r="C217" s="3" t="inlineStr">
        <is>
          <t>PRD-0108-1</t>
        </is>
      </c>
      <c r="D217" s="3" t="inlineStr">
        <is>
          <t>広報写真 1</t>
        </is>
      </c>
      <c r="E217" s="11" t="n">
        <v>19236</v>
      </c>
      <c r="F217" s="11" t="n">
        <v>21160</v>
      </c>
      <c r="G217" s="3" t="inlineStr">
        <is>
          <t>編集部</t>
        </is>
      </c>
      <c r="H217" s="3" t="inlineStr">
        <is>
          <t>Biz Journal</t>
        </is>
      </c>
      <c r="I217" s="9" t="n">
        <v>46076</v>
      </c>
      <c r="J217" s="3" t="inlineStr">
        <is>
          <t>折れ注意</t>
        </is>
      </c>
      <c r="K217" s="8" t="b">
        <v>0</v>
      </c>
      <c r="L217" s="9" t="n"/>
    </row>
    <row r="218">
      <c r="A218" s="8" t="n">
        <v>217</v>
      </c>
      <c r="B218" s="8" t="n">
        <v>109</v>
      </c>
      <c r="C218" s="3" t="inlineStr">
        <is>
          <t>PRD-0109-1</t>
        </is>
      </c>
      <c r="D218" s="3" t="inlineStr">
        <is>
          <t>掲載誌 1</t>
        </is>
      </c>
      <c r="E218" s="11" t="n">
        <v>19553</v>
      </c>
      <c r="F218" s="11" t="n">
        <v>21508</v>
      </c>
      <c r="G218" s="3" t="inlineStr">
        <is>
          <t>制作部</t>
        </is>
      </c>
      <c r="H218" s="3" t="inlineStr">
        <is>
          <t>Tech Line</t>
        </is>
      </c>
      <c r="I218" s="9" t="n">
        <v>46077</v>
      </c>
      <c r="J218" s="3" t="inlineStr">
        <is>
          <t>機密資料を含む</t>
        </is>
      </c>
      <c r="K218" s="8" t="b">
        <v>1</v>
      </c>
      <c r="L218" s="9" t="n">
        <v>46108</v>
      </c>
    </row>
    <row r="219">
      <c r="A219" s="8" t="n">
        <v>218</v>
      </c>
      <c r="B219" s="8" t="n">
        <v>109</v>
      </c>
      <c r="C219" s="3" t="inlineStr">
        <is>
          <t>PRD-0109-2</t>
        </is>
      </c>
      <c r="D219" s="3" t="inlineStr">
        <is>
          <t>校正紙 2</t>
        </is>
      </c>
      <c r="E219" s="11" t="n">
        <v>20074</v>
      </c>
      <c r="F219" s="11" t="n">
        <v>22081</v>
      </c>
      <c r="G219" s="3" t="inlineStr">
        <is>
          <t>宣伝課</t>
        </is>
      </c>
      <c r="H219" s="3" t="inlineStr">
        <is>
          <t>生活スタイル</t>
        </is>
      </c>
      <c r="I219" s="9" t="n">
        <v>46076</v>
      </c>
      <c r="J219" s="3" t="inlineStr">
        <is>
          <t>予備あり</t>
        </is>
      </c>
      <c r="K219" s="8" t="b">
        <v>1</v>
      </c>
      <c r="L219" s="9" t="n">
        <v>46107</v>
      </c>
    </row>
    <row r="220">
      <c r="A220" s="8" t="n">
        <v>219</v>
      </c>
      <c r="B220" s="8" t="n">
        <v>110</v>
      </c>
      <c r="C220" s="3" t="inlineStr">
        <is>
          <t>PRD-0110-1</t>
        </is>
      </c>
      <c r="D220" s="3" t="inlineStr">
        <is>
          <t>校正紙 1</t>
        </is>
      </c>
      <c r="E220" s="11" t="n">
        <v>19870</v>
      </c>
      <c r="F220" s="11" t="n">
        <v>21857</v>
      </c>
      <c r="G220" s="3" t="inlineStr">
        <is>
          <t>宣伝課</t>
        </is>
      </c>
      <c r="H220" s="3" t="inlineStr">
        <is>
          <t>生活スタイル</t>
        </is>
      </c>
      <c r="I220" s="9" t="n">
        <v>46078</v>
      </c>
      <c r="J220" s="3" t="inlineStr">
        <is>
          <t>予備あり</t>
        </is>
      </c>
      <c r="K220" s="8" t="b">
        <v>1</v>
      </c>
      <c r="L220" s="9" t="n">
        <v>46111</v>
      </c>
    </row>
    <row r="221">
      <c r="A221" s="8" t="n">
        <v>220</v>
      </c>
      <c r="B221" s="8" t="n">
        <v>110</v>
      </c>
      <c r="C221" s="3" t="inlineStr">
        <is>
          <t>PRD-0110-2</t>
        </is>
      </c>
      <c r="D221" s="3" t="inlineStr">
        <is>
          <t>ノベルティ 2</t>
        </is>
      </c>
      <c r="E221" s="11" t="n">
        <v>20391</v>
      </c>
      <c r="F221" s="11" t="n">
        <v>22430</v>
      </c>
      <c r="G221" s="3" t="inlineStr">
        <is>
          <t>営業部</t>
        </is>
      </c>
      <c r="H221" s="3" t="inlineStr">
        <is>
          <t>カルチャー通信</t>
        </is>
      </c>
      <c r="I221" s="9" t="n">
        <v>46077</v>
      </c>
      <c r="J221" s="3" t="inlineStr">
        <is>
          <t>急ぎ対応</t>
        </is>
      </c>
      <c r="K221" s="8" t="b">
        <v>1</v>
      </c>
      <c r="L221" s="9" t="n">
        <v>46110</v>
      </c>
    </row>
    <row r="222">
      <c r="A222" s="8" t="n">
        <v>221</v>
      </c>
      <c r="B222" s="8" t="n">
        <v>110</v>
      </c>
      <c r="C222" s="3" t="inlineStr">
        <is>
          <t>PRD-0110-3</t>
        </is>
      </c>
      <c r="D222" s="3" t="inlineStr">
        <is>
          <t>プレスキット 3</t>
        </is>
      </c>
      <c r="E222" s="11" t="n">
        <v>20912</v>
      </c>
      <c r="F222" s="11" t="n">
        <v>23003</v>
      </c>
      <c r="G222" s="3" t="inlineStr">
        <is>
          <t>広告代理店A</t>
        </is>
      </c>
      <c r="H222" s="3" t="inlineStr">
        <is>
          <t>週刊PRESS</t>
        </is>
      </c>
      <c r="I222" s="9" t="n">
        <v>46076</v>
      </c>
      <c r="J222" s="3" t="inlineStr">
        <is>
          <t>要返却</t>
        </is>
      </c>
      <c r="K222" s="8" t="b">
        <v>0</v>
      </c>
      <c r="L222" s="9" t="n"/>
    </row>
    <row r="223">
      <c r="A223" s="8" t="n">
        <v>222</v>
      </c>
      <c r="B223" s="8" t="n">
        <v>111</v>
      </c>
      <c r="C223" s="3" t="inlineStr">
        <is>
          <t>PRD-0111-1</t>
        </is>
      </c>
      <c r="D223" s="3" t="inlineStr">
        <is>
          <t>ノベルティ 1</t>
        </is>
      </c>
      <c r="E223" s="11" t="n">
        <v>20187</v>
      </c>
      <c r="F223" s="11" t="n">
        <v>22206</v>
      </c>
      <c r="G223" s="3" t="inlineStr">
        <is>
          <t>営業部</t>
        </is>
      </c>
      <c r="H223" s="3" t="inlineStr">
        <is>
          <t>カルチャー通信</t>
        </is>
      </c>
      <c r="I223" s="9" t="n">
        <v>46079</v>
      </c>
      <c r="J223" s="3" t="inlineStr">
        <is>
          <t>急ぎ対応</t>
        </is>
      </c>
      <c r="K223" s="8" t="b">
        <v>1</v>
      </c>
      <c r="L223" s="9" t="n">
        <v>46114</v>
      </c>
    </row>
    <row r="224">
      <c r="A224" s="8" t="n">
        <v>223</v>
      </c>
      <c r="B224" s="8" t="n">
        <v>112</v>
      </c>
      <c r="C224" s="3" t="inlineStr">
        <is>
          <t>PRD-0112-1</t>
        </is>
      </c>
      <c r="D224" s="3" t="inlineStr">
        <is>
          <t>プレスキット 1</t>
        </is>
      </c>
      <c r="E224" s="11" t="n">
        <v>20504</v>
      </c>
      <c r="F224" s="11" t="n">
        <v>22554</v>
      </c>
      <c r="G224" s="3" t="inlineStr">
        <is>
          <t>広告代理店A</t>
        </is>
      </c>
      <c r="H224" s="3" t="inlineStr">
        <is>
          <t>週刊PRESS</t>
        </is>
      </c>
      <c r="I224" s="9" t="n">
        <v>46080</v>
      </c>
      <c r="J224" s="3" t="inlineStr">
        <is>
          <t>要返却</t>
        </is>
      </c>
      <c r="K224" s="8" t="b">
        <v>0</v>
      </c>
      <c r="L224" s="9" t="n"/>
    </row>
    <row r="225">
      <c r="A225" s="8" t="n">
        <v>224</v>
      </c>
      <c r="B225" s="8" t="n">
        <v>112</v>
      </c>
      <c r="C225" s="3" t="inlineStr">
        <is>
          <t>PRD-0112-2</t>
        </is>
      </c>
      <c r="D225" s="3" t="inlineStr">
        <is>
          <t>販促POP 2</t>
        </is>
      </c>
      <c r="E225" s="11" t="n">
        <v>3025</v>
      </c>
      <c r="F225" s="11" t="n">
        <v>3328</v>
      </c>
      <c r="G225" s="3" t="inlineStr">
        <is>
          <t>広告代理店B</t>
        </is>
      </c>
      <c r="H225" s="3" t="inlineStr">
        <is>
          <t>月刊メディア</t>
        </is>
      </c>
      <c r="I225" s="9" t="n">
        <v>46079</v>
      </c>
      <c r="J225" s="3" t="inlineStr">
        <is>
          <t>先方確認済み</t>
        </is>
      </c>
      <c r="K225" s="8" t="b">
        <v>1</v>
      </c>
      <c r="L225" s="9" t="n">
        <v>46108</v>
      </c>
    </row>
    <row r="226">
      <c r="A226" s="8" t="n">
        <v>225</v>
      </c>
      <c r="B226" s="8" t="n">
        <v>113</v>
      </c>
      <c r="C226" s="3" t="inlineStr">
        <is>
          <t>PRD-0113-1</t>
        </is>
      </c>
      <c r="D226" s="3" t="inlineStr">
        <is>
          <t>販促POP 1</t>
        </is>
      </c>
      <c r="E226" s="11" t="n">
        <v>20821</v>
      </c>
      <c r="F226" s="11" t="n">
        <v>22903</v>
      </c>
      <c r="G226" s="3" t="inlineStr">
        <is>
          <t>広告代理店B</t>
        </is>
      </c>
      <c r="H226" s="3" t="inlineStr">
        <is>
          <t>月刊メディア</t>
        </is>
      </c>
      <c r="I226" s="9" t="n">
        <v>46081</v>
      </c>
      <c r="J226" s="3" t="inlineStr">
        <is>
          <t>先方確認済み</t>
        </is>
      </c>
      <c r="K226" s="8" t="b">
        <v>1</v>
      </c>
      <c r="L226" s="9" t="n">
        <v>46112</v>
      </c>
    </row>
    <row r="227">
      <c r="A227" s="8" t="n">
        <v>226</v>
      </c>
      <c r="B227" s="8" t="n">
        <v>113</v>
      </c>
      <c r="C227" s="3" t="inlineStr">
        <is>
          <t>PRD-0113-2</t>
        </is>
      </c>
      <c r="D227" s="3" t="inlineStr">
        <is>
          <t>取材資料 2</t>
        </is>
      </c>
      <c r="E227" s="11" t="n">
        <v>3342</v>
      </c>
      <c r="F227" s="11" t="n">
        <v>3676</v>
      </c>
      <c r="G227" s="3" t="inlineStr">
        <is>
          <t>編集部</t>
        </is>
      </c>
      <c r="H227" s="3" t="inlineStr">
        <is>
          <t>ニュースWave</t>
        </is>
      </c>
      <c r="I227" s="9" t="n">
        <v>46080</v>
      </c>
      <c r="J227" s="3" t="inlineStr">
        <is>
          <t>再送不可</t>
        </is>
      </c>
      <c r="K227" s="8" t="b">
        <v>1</v>
      </c>
      <c r="L227" s="9" t="n">
        <v>46111</v>
      </c>
    </row>
    <row r="228">
      <c r="A228" s="8" t="n">
        <v>227</v>
      </c>
      <c r="B228" s="8" t="n">
        <v>113</v>
      </c>
      <c r="C228" s="3" t="inlineStr">
        <is>
          <t>PRD-0113-3</t>
        </is>
      </c>
      <c r="D228" s="3" t="inlineStr">
        <is>
          <t>サンプル冊子 3</t>
        </is>
      </c>
      <c r="E228" s="11" t="n">
        <v>3863</v>
      </c>
      <c r="F228" s="11" t="n">
        <v>4249</v>
      </c>
      <c r="G228" s="3" t="inlineStr">
        <is>
          <t>制作部</t>
        </is>
      </c>
      <c r="H228" s="3" t="inlineStr">
        <is>
          <t>Biz Journal</t>
        </is>
      </c>
      <c r="I228" s="9" t="n">
        <v>46079</v>
      </c>
      <c r="J228" s="3" t="inlineStr">
        <is>
          <t>折れ注意</t>
        </is>
      </c>
      <c r="K228" s="8" t="b">
        <v>1</v>
      </c>
      <c r="L228" s="9" t="n">
        <v>46110</v>
      </c>
    </row>
    <row r="229">
      <c r="A229" s="8" t="n">
        <v>228</v>
      </c>
      <c r="B229" s="8" t="n">
        <v>114</v>
      </c>
      <c r="C229" s="3" t="inlineStr">
        <is>
          <t>PRD-0114-1</t>
        </is>
      </c>
      <c r="D229" s="3" t="inlineStr">
        <is>
          <t>取材資料 1</t>
        </is>
      </c>
      <c r="E229" s="11" t="n">
        <v>3138</v>
      </c>
      <c r="F229" s="11" t="n">
        <v>3452</v>
      </c>
      <c r="G229" s="3" t="inlineStr">
        <is>
          <t>編集部</t>
        </is>
      </c>
      <c r="H229" s="3" t="inlineStr">
        <is>
          <t>ニュースWave</t>
        </is>
      </c>
      <c r="I229" s="9" t="n">
        <v>46082</v>
      </c>
      <c r="J229" s="3" t="inlineStr">
        <is>
          <t>再送不可</t>
        </is>
      </c>
      <c r="K229" s="8" t="b">
        <v>1</v>
      </c>
      <c r="L229" s="9" t="n">
        <v>46115</v>
      </c>
    </row>
    <row r="230">
      <c r="A230" s="8" t="n">
        <v>229</v>
      </c>
      <c r="B230" s="8" t="n">
        <v>115</v>
      </c>
      <c r="C230" s="3" t="inlineStr">
        <is>
          <t>PRD-0115-1</t>
        </is>
      </c>
      <c r="D230" s="3" t="inlineStr">
        <is>
          <t>サンプル冊子 1</t>
        </is>
      </c>
      <c r="E230" s="11" t="n">
        <v>3455</v>
      </c>
      <c r="F230" s="11" t="n">
        <v>3801</v>
      </c>
      <c r="G230" s="3" t="inlineStr">
        <is>
          <t>制作部</t>
        </is>
      </c>
      <c r="H230" s="3" t="inlineStr">
        <is>
          <t>Biz Journal</t>
        </is>
      </c>
      <c r="I230" s="9" t="n">
        <v>46083</v>
      </c>
      <c r="J230" s="3" t="inlineStr">
        <is>
          <t>折れ注意</t>
        </is>
      </c>
      <c r="K230" s="8" t="b">
        <v>1</v>
      </c>
      <c r="L230" s="9" t="n">
        <v>46118</v>
      </c>
    </row>
    <row r="231">
      <c r="A231" s="8" t="n">
        <v>230</v>
      </c>
      <c r="B231" s="8" t="n">
        <v>115</v>
      </c>
      <c r="C231" s="3" t="inlineStr">
        <is>
          <t>PRD-0115-2</t>
        </is>
      </c>
      <c r="D231" s="3" t="inlineStr">
        <is>
          <t>広報写真 2</t>
        </is>
      </c>
      <c r="E231" s="11" t="n">
        <v>3976</v>
      </c>
      <c r="F231" s="11" t="n">
        <v>4374</v>
      </c>
      <c r="G231" s="3" t="inlineStr">
        <is>
          <t>宣伝課</t>
        </is>
      </c>
      <c r="H231" s="3" t="inlineStr">
        <is>
          <t>Tech Line</t>
        </is>
      </c>
      <c r="I231" s="9" t="n">
        <v>46082</v>
      </c>
      <c r="J231" s="3" t="inlineStr">
        <is>
          <t>機密資料を含む</t>
        </is>
      </c>
      <c r="K231" s="8" t="b">
        <v>0</v>
      </c>
      <c r="L231" s="9" t="n"/>
    </row>
    <row r="232">
      <c r="A232" s="8" t="n">
        <v>231</v>
      </c>
      <c r="B232" s="8" t="n">
        <v>116</v>
      </c>
      <c r="C232" s="3" t="inlineStr">
        <is>
          <t>PRD-0116-1</t>
        </is>
      </c>
      <c r="D232" s="3" t="inlineStr">
        <is>
          <t>広報写真 1</t>
        </is>
      </c>
      <c r="E232" s="11" t="n">
        <v>3772</v>
      </c>
      <c r="F232" s="11" t="n">
        <v>4149</v>
      </c>
      <c r="G232" s="3" t="inlineStr">
        <is>
          <t>宣伝課</t>
        </is>
      </c>
      <c r="H232" s="3" t="inlineStr">
        <is>
          <t>Tech Line</t>
        </is>
      </c>
      <c r="I232" s="9" t="n">
        <v>46084</v>
      </c>
      <c r="J232" s="3" t="inlineStr">
        <is>
          <t>機密資料を含む</t>
        </is>
      </c>
      <c r="K232" s="8" t="b">
        <v>0</v>
      </c>
      <c r="L232" s="9" t="n"/>
    </row>
    <row r="233">
      <c r="A233" s="8" t="n">
        <v>232</v>
      </c>
      <c r="B233" s="8" t="n">
        <v>116</v>
      </c>
      <c r="C233" s="3" t="inlineStr">
        <is>
          <t>PRD-0116-2</t>
        </is>
      </c>
      <c r="D233" s="3" t="inlineStr">
        <is>
          <t>掲載誌 2</t>
        </is>
      </c>
      <c r="E233" s="11" t="n">
        <v>4293</v>
      </c>
      <c r="F233" s="11" t="n">
        <v>4722</v>
      </c>
      <c r="G233" s="3" t="inlineStr">
        <is>
          <t>営業部</t>
        </is>
      </c>
      <c r="H233" s="3" t="inlineStr">
        <is>
          <t>生活スタイル</t>
        </is>
      </c>
      <c r="I233" s="9" t="n">
        <v>46083</v>
      </c>
      <c r="J233" s="3" t="inlineStr">
        <is>
          <t>予備あり</t>
        </is>
      </c>
      <c r="K233" s="8" t="b">
        <v>1</v>
      </c>
      <c r="L233" s="9" t="n">
        <v>46120</v>
      </c>
    </row>
    <row r="234">
      <c r="A234" s="8" t="n">
        <v>233</v>
      </c>
      <c r="B234" s="8" t="n">
        <v>116</v>
      </c>
      <c r="C234" s="3" t="inlineStr">
        <is>
          <t>PRD-0116-3</t>
        </is>
      </c>
      <c r="D234" s="3" t="inlineStr">
        <is>
          <t>校正紙 3</t>
        </is>
      </c>
      <c r="E234" s="11" t="n">
        <v>4814</v>
      </c>
      <c r="F234" s="11" t="n">
        <v>5295</v>
      </c>
      <c r="G234" s="3" t="inlineStr">
        <is>
          <t>広告代理店A</t>
        </is>
      </c>
      <c r="H234" s="3" t="inlineStr">
        <is>
          <t>カルチャー通信</t>
        </is>
      </c>
      <c r="I234" s="9" t="n">
        <v>46082</v>
      </c>
      <c r="J234" s="3" t="inlineStr">
        <is>
          <t>急ぎ対応</t>
        </is>
      </c>
      <c r="K234" s="8" t="b">
        <v>1</v>
      </c>
      <c r="L234" s="9" t="n">
        <v>46119</v>
      </c>
    </row>
    <row r="235">
      <c r="A235" s="8" t="n">
        <v>234</v>
      </c>
      <c r="B235" s="8" t="n">
        <v>117</v>
      </c>
      <c r="C235" s="3" t="inlineStr">
        <is>
          <t>PRD-0117-1</t>
        </is>
      </c>
      <c r="D235" s="3" t="inlineStr">
        <is>
          <t>掲載誌 1</t>
        </is>
      </c>
      <c r="E235" s="11" t="n">
        <v>4089</v>
      </c>
      <c r="F235" s="11" t="n">
        <v>4498</v>
      </c>
      <c r="G235" s="3" t="inlineStr">
        <is>
          <t>営業部</t>
        </is>
      </c>
      <c r="H235" s="3" t="inlineStr">
        <is>
          <t>生活スタイル</t>
        </is>
      </c>
      <c r="I235" s="9" t="n">
        <v>46085</v>
      </c>
      <c r="J235" s="3" t="inlineStr">
        <is>
          <t>予備あり</t>
        </is>
      </c>
      <c r="K235" s="8" t="b">
        <v>1</v>
      </c>
      <c r="L235" s="9" t="n">
        <v>46124</v>
      </c>
    </row>
    <row r="236">
      <c r="A236" s="8" t="n">
        <v>235</v>
      </c>
      <c r="B236" s="8" t="n">
        <v>118</v>
      </c>
      <c r="C236" s="3" t="inlineStr">
        <is>
          <t>PRD-0118-1</t>
        </is>
      </c>
      <c r="D236" s="3" t="inlineStr">
        <is>
          <t>校正紙 1</t>
        </is>
      </c>
      <c r="E236" s="11" t="n">
        <v>4406</v>
      </c>
      <c r="F236" s="11" t="n">
        <v>4847</v>
      </c>
      <c r="G236" s="3" t="inlineStr">
        <is>
          <t>広告代理店A</t>
        </is>
      </c>
      <c r="H236" s="3" t="inlineStr">
        <is>
          <t>カルチャー通信</t>
        </is>
      </c>
      <c r="I236" s="9" t="n">
        <v>46086</v>
      </c>
      <c r="J236" s="3" t="inlineStr">
        <is>
          <t>急ぎ対応</t>
        </is>
      </c>
      <c r="K236" s="8" t="b">
        <v>1</v>
      </c>
      <c r="L236" s="9" t="n">
        <v>46127</v>
      </c>
    </row>
    <row r="237">
      <c r="A237" s="8" t="n">
        <v>236</v>
      </c>
      <c r="B237" s="8" t="n">
        <v>118</v>
      </c>
      <c r="C237" s="3" t="inlineStr">
        <is>
          <t>PRD-0118-2</t>
        </is>
      </c>
      <c r="D237" s="3" t="inlineStr">
        <is>
          <t>ノベルティ 2</t>
        </is>
      </c>
      <c r="E237" s="11" t="n">
        <v>4927</v>
      </c>
      <c r="F237" s="11" t="n">
        <v>5420</v>
      </c>
      <c r="G237" s="3" t="inlineStr">
        <is>
          <t>広告代理店B</t>
        </is>
      </c>
      <c r="H237" s="3" t="inlineStr">
        <is>
          <t>週刊PRESS</t>
        </is>
      </c>
      <c r="I237" s="9" t="n">
        <v>46085</v>
      </c>
      <c r="J237" s="3" t="inlineStr">
        <is>
          <t>要返却</t>
        </is>
      </c>
      <c r="K237" s="8" t="b">
        <v>1</v>
      </c>
      <c r="L237" s="9" t="n">
        <v>46126</v>
      </c>
    </row>
    <row r="238">
      <c r="A238" s="8" t="n">
        <v>237</v>
      </c>
      <c r="B238" s="8" t="n">
        <v>119</v>
      </c>
      <c r="C238" s="3" t="inlineStr">
        <is>
          <t>PRD-0119-1</t>
        </is>
      </c>
      <c r="D238" s="3" t="inlineStr">
        <is>
          <t>ノベルティ 1</t>
        </is>
      </c>
      <c r="E238" s="11" t="n">
        <v>4723</v>
      </c>
      <c r="F238" s="11" t="n">
        <v>5195</v>
      </c>
      <c r="G238" s="3" t="inlineStr">
        <is>
          <t>広告代理店B</t>
        </is>
      </c>
      <c r="H238" s="3" t="inlineStr">
        <is>
          <t>週刊PRESS</t>
        </is>
      </c>
      <c r="I238" s="9" t="n">
        <v>46087</v>
      </c>
      <c r="J238" s="3" t="inlineStr">
        <is>
          <t>要返却</t>
        </is>
      </c>
      <c r="K238" s="8" t="b">
        <v>1</v>
      </c>
      <c r="L238" s="9" t="n">
        <v>46130</v>
      </c>
    </row>
    <row r="239">
      <c r="A239" s="8" t="n">
        <v>238</v>
      </c>
      <c r="B239" s="8" t="n">
        <v>119</v>
      </c>
      <c r="C239" s="3" t="inlineStr">
        <is>
          <t>PRD-0119-2</t>
        </is>
      </c>
      <c r="D239" s="3" t="inlineStr">
        <is>
          <t>プレスキット 2</t>
        </is>
      </c>
      <c r="E239" s="11" t="n">
        <v>5244</v>
      </c>
      <c r="F239" s="11" t="n">
        <v>5768</v>
      </c>
      <c r="G239" s="3" t="inlineStr">
        <is>
          <t>編集部</t>
        </is>
      </c>
      <c r="H239" s="3" t="inlineStr">
        <is>
          <t>月刊メディア</t>
        </is>
      </c>
      <c r="I239" s="9" t="n">
        <v>46086</v>
      </c>
      <c r="J239" s="3" t="inlineStr">
        <is>
          <t>先方確認済み</t>
        </is>
      </c>
      <c r="K239" s="8" t="b">
        <v>0</v>
      </c>
      <c r="L239" s="9" t="n"/>
    </row>
    <row r="240">
      <c r="A240" s="8" t="n">
        <v>239</v>
      </c>
      <c r="B240" s="8" t="n">
        <v>119</v>
      </c>
      <c r="C240" s="3" t="inlineStr">
        <is>
          <t>PRD-0119-3</t>
        </is>
      </c>
      <c r="D240" s="3" t="inlineStr">
        <is>
          <t>販促POP 3</t>
        </is>
      </c>
      <c r="E240" s="11" t="n">
        <v>5765</v>
      </c>
      <c r="F240" s="11" t="n">
        <v>6342</v>
      </c>
      <c r="G240" s="3" t="inlineStr">
        <is>
          <t>制作部</t>
        </is>
      </c>
      <c r="H240" s="3" t="inlineStr">
        <is>
          <t>ニュースWave</t>
        </is>
      </c>
      <c r="I240" s="9" t="n">
        <v>46085</v>
      </c>
      <c r="J240" s="3" t="inlineStr">
        <is>
          <t>再送不可</t>
        </is>
      </c>
      <c r="K240" s="8" t="b">
        <v>1</v>
      </c>
      <c r="L240" s="9" t="n">
        <v>46128</v>
      </c>
    </row>
    <row r="241">
      <c r="A241" s="8" t="n">
        <v>240</v>
      </c>
      <c r="B241" s="8" t="n">
        <v>120</v>
      </c>
      <c r="C241" s="3" t="inlineStr">
        <is>
          <t>PRD-0120-1</t>
        </is>
      </c>
      <c r="D241" s="3" t="inlineStr">
        <is>
          <t>プレスキット 1</t>
        </is>
      </c>
      <c r="E241" s="11" t="n">
        <v>5040</v>
      </c>
      <c r="F241" s="11" t="n">
        <v>5544</v>
      </c>
      <c r="G241" s="3" t="inlineStr">
        <is>
          <t>編集部</t>
        </is>
      </c>
      <c r="H241" s="3" t="inlineStr">
        <is>
          <t>月刊メディア</t>
        </is>
      </c>
      <c r="I241" s="9" t="n">
        <v>46088</v>
      </c>
      <c r="J241" s="3" t="inlineStr">
        <is>
          <t>先方確認済み</t>
        </is>
      </c>
      <c r="K241" s="8" t="b">
        <v>0</v>
      </c>
      <c r="L241" s="9" t="n"/>
    </row>
    <row r="242">
      <c r="A242" s="8" t="n">
        <v>241</v>
      </c>
      <c r="B242" s="8" t="n">
        <v>121</v>
      </c>
      <c r="C242" s="3" t="inlineStr">
        <is>
          <t>PRD-0121-1</t>
        </is>
      </c>
      <c r="D242" s="3" t="inlineStr">
        <is>
          <t>販促POP 1</t>
        </is>
      </c>
      <c r="E242" s="11" t="n">
        <v>5357</v>
      </c>
      <c r="F242" s="11" t="n">
        <v>5893</v>
      </c>
      <c r="G242" s="3" t="inlineStr">
        <is>
          <t>制作部</t>
        </is>
      </c>
      <c r="H242" s="3" t="inlineStr">
        <is>
          <t>ニュースWave</t>
        </is>
      </c>
      <c r="I242" s="9" t="n">
        <v>46089</v>
      </c>
      <c r="J242" s="3" t="inlineStr">
        <is>
          <t>再送不可</t>
        </is>
      </c>
      <c r="K242" s="8" t="b">
        <v>1</v>
      </c>
      <c r="L242" s="9" t="n">
        <v>46128</v>
      </c>
    </row>
    <row r="243">
      <c r="A243" s="8" t="n">
        <v>242</v>
      </c>
      <c r="B243" s="8" t="n">
        <v>121</v>
      </c>
      <c r="C243" s="3" t="inlineStr">
        <is>
          <t>PRD-0121-2</t>
        </is>
      </c>
      <c r="D243" s="3" t="inlineStr">
        <is>
          <t>取材資料 2</t>
        </is>
      </c>
      <c r="E243" s="11" t="n">
        <v>5878</v>
      </c>
      <c r="F243" s="11" t="n">
        <v>6466</v>
      </c>
      <c r="G243" s="3" t="inlineStr">
        <is>
          <t>宣伝課</t>
        </is>
      </c>
      <c r="H243" s="3" t="inlineStr">
        <is>
          <t>Biz Journal</t>
        </is>
      </c>
      <c r="I243" s="9" t="n">
        <v>46088</v>
      </c>
      <c r="J243" s="3" t="inlineStr">
        <is>
          <t>折れ注意</t>
        </is>
      </c>
      <c r="K243" s="8" t="b">
        <v>1</v>
      </c>
      <c r="L243" s="9" t="n">
        <v>46127</v>
      </c>
    </row>
    <row r="244">
      <c r="A244" s="8" t="n">
        <v>243</v>
      </c>
      <c r="B244" s="8" t="n">
        <v>122</v>
      </c>
      <c r="C244" s="3" t="inlineStr">
        <is>
          <t>PRD-0122-1</t>
        </is>
      </c>
      <c r="D244" s="3" t="inlineStr">
        <is>
          <t>取材資料 1</t>
        </is>
      </c>
      <c r="E244" s="11" t="n">
        <v>5674</v>
      </c>
      <c r="F244" s="11" t="n">
        <v>6241</v>
      </c>
      <c r="G244" s="3" t="inlineStr">
        <is>
          <t>宣伝課</t>
        </is>
      </c>
      <c r="H244" s="3" t="inlineStr">
        <is>
          <t>Biz Journal</t>
        </is>
      </c>
      <c r="I244" s="9" t="n">
        <v>46090</v>
      </c>
      <c r="J244" s="3" t="inlineStr">
        <is>
          <t>折れ注意</t>
        </is>
      </c>
      <c r="K244" s="8" t="b">
        <v>1</v>
      </c>
      <c r="L244" s="9" t="n">
        <v>46131</v>
      </c>
    </row>
    <row r="245">
      <c r="A245" s="8" t="n">
        <v>244</v>
      </c>
      <c r="B245" s="8" t="n">
        <v>122</v>
      </c>
      <c r="C245" s="3" t="inlineStr">
        <is>
          <t>PRD-0122-2</t>
        </is>
      </c>
      <c r="D245" s="3" t="inlineStr">
        <is>
          <t>サンプル冊子 2</t>
        </is>
      </c>
      <c r="E245" s="11" t="n">
        <v>6195</v>
      </c>
      <c r="F245" s="11" t="n">
        <v>6815</v>
      </c>
      <c r="G245" s="3" t="inlineStr">
        <is>
          <t>営業部</t>
        </is>
      </c>
      <c r="H245" s="3" t="inlineStr">
        <is>
          <t>Tech Line</t>
        </is>
      </c>
      <c r="I245" s="9" t="n">
        <v>46089</v>
      </c>
      <c r="J245" s="3" t="inlineStr">
        <is>
          <t>機密資料を含む</t>
        </is>
      </c>
      <c r="K245" s="8" t="b">
        <v>1</v>
      </c>
      <c r="L245" s="9" t="n">
        <v>46130</v>
      </c>
    </row>
    <row r="246">
      <c r="A246" s="8" t="n">
        <v>245</v>
      </c>
      <c r="B246" s="8" t="n">
        <v>122</v>
      </c>
      <c r="C246" s="3" t="inlineStr">
        <is>
          <t>PRD-0122-3</t>
        </is>
      </c>
      <c r="D246" s="3" t="inlineStr">
        <is>
          <t>広報写真 3</t>
        </is>
      </c>
      <c r="E246" s="11" t="n">
        <v>6716</v>
      </c>
      <c r="F246" s="11" t="n">
        <v>7388</v>
      </c>
      <c r="G246" s="3" t="inlineStr">
        <is>
          <t>広告代理店A</t>
        </is>
      </c>
      <c r="H246" s="3" t="inlineStr">
        <is>
          <t>生活スタイル</t>
        </is>
      </c>
      <c r="I246" s="9" t="n">
        <v>46088</v>
      </c>
      <c r="J246" s="3" t="inlineStr">
        <is>
          <t>予備あり</t>
        </is>
      </c>
      <c r="K246" s="8" t="b">
        <v>0</v>
      </c>
      <c r="L246" s="9" t="n"/>
    </row>
    <row r="247">
      <c r="A247" s="8" t="n">
        <v>246</v>
      </c>
      <c r="B247" s="8" t="n">
        <v>123</v>
      </c>
      <c r="C247" s="3" t="inlineStr">
        <is>
          <t>PRD-0123-1</t>
        </is>
      </c>
      <c r="D247" s="3" t="inlineStr">
        <is>
          <t>サンプル冊子 1</t>
        </is>
      </c>
      <c r="E247" s="11" t="n">
        <v>5991</v>
      </c>
      <c r="F247" s="11" t="n">
        <v>6590</v>
      </c>
      <c r="G247" s="3" t="inlineStr">
        <is>
          <t>営業部</t>
        </is>
      </c>
      <c r="H247" s="3" t="inlineStr">
        <is>
          <t>Tech Line</t>
        </is>
      </c>
      <c r="I247" s="9" t="n">
        <v>46091</v>
      </c>
      <c r="J247" s="3" t="inlineStr">
        <is>
          <t>機密資料を含む</t>
        </is>
      </c>
      <c r="K247" s="8" t="b">
        <v>1</v>
      </c>
      <c r="L247" s="9" t="n">
        <v>46134</v>
      </c>
    </row>
    <row r="248">
      <c r="A248" s="8" t="n">
        <v>247</v>
      </c>
      <c r="B248" s="8" t="n">
        <v>124</v>
      </c>
      <c r="C248" s="3" t="inlineStr">
        <is>
          <t>PRD-0124-1</t>
        </is>
      </c>
      <c r="D248" s="3" t="inlineStr">
        <is>
          <t>広報写真 1</t>
        </is>
      </c>
      <c r="E248" s="11" t="n">
        <v>6308</v>
      </c>
      <c r="F248" s="11" t="n">
        <v>6939</v>
      </c>
      <c r="G248" s="3" t="inlineStr">
        <is>
          <t>広告代理店A</t>
        </is>
      </c>
      <c r="H248" s="3" t="inlineStr">
        <is>
          <t>生活スタイル</t>
        </is>
      </c>
      <c r="I248" s="9" t="n">
        <v>46092</v>
      </c>
      <c r="J248" s="3" t="inlineStr">
        <is>
          <t>予備あり</t>
        </is>
      </c>
      <c r="K248" s="8" t="b">
        <v>0</v>
      </c>
      <c r="L248" s="9" t="n"/>
    </row>
    <row r="249">
      <c r="A249" s="8" t="n">
        <v>248</v>
      </c>
      <c r="B249" s="8" t="n">
        <v>124</v>
      </c>
      <c r="C249" s="3" t="inlineStr">
        <is>
          <t>PRD-0124-2</t>
        </is>
      </c>
      <c r="D249" s="3" t="inlineStr">
        <is>
          <t>掲載誌 2</t>
        </is>
      </c>
      <c r="E249" s="11" t="n">
        <v>6829</v>
      </c>
      <c r="F249" s="11" t="n">
        <v>7512</v>
      </c>
      <c r="G249" s="3" t="inlineStr">
        <is>
          <t>広告代理店B</t>
        </is>
      </c>
      <c r="H249" s="3" t="inlineStr">
        <is>
          <t>カルチャー通信</t>
        </is>
      </c>
      <c r="I249" s="9" t="n">
        <v>46091</v>
      </c>
      <c r="J249" s="3" t="inlineStr">
        <is>
          <t>急ぎ対応</t>
        </is>
      </c>
      <c r="K249" s="8" t="b">
        <v>1</v>
      </c>
      <c r="L249" s="9" t="n">
        <v>46136</v>
      </c>
    </row>
    <row r="250">
      <c r="A250" s="8" t="n">
        <v>249</v>
      </c>
      <c r="B250" s="8" t="n">
        <v>125</v>
      </c>
      <c r="C250" s="3" t="inlineStr">
        <is>
          <t>PRD-0125-1</t>
        </is>
      </c>
      <c r="D250" s="3" t="inlineStr">
        <is>
          <t>掲載誌 1</t>
        </is>
      </c>
      <c r="E250" s="11" t="n">
        <v>6625</v>
      </c>
      <c r="F250" s="11" t="n">
        <v>7288</v>
      </c>
      <c r="G250" s="3" t="inlineStr">
        <is>
          <t>広告代理店B</t>
        </is>
      </c>
      <c r="H250" s="3" t="inlineStr">
        <is>
          <t>カルチャー通信</t>
        </is>
      </c>
      <c r="I250" s="9" t="n">
        <v>46093</v>
      </c>
      <c r="J250" s="3" t="inlineStr">
        <is>
          <t>急ぎ対応</t>
        </is>
      </c>
      <c r="K250" s="8" t="b">
        <v>1</v>
      </c>
      <c r="L250" s="9" t="n">
        <v>46140</v>
      </c>
    </row>
    <row r="251">
      <c r="A251" s="8" t="n">
        <v>250</v>
      </c>
      <c r="B251" s="8" t="n">
        <v>125</v>
      </c>
      <c r="C251" s="3" t="inlineStr">
        <is>
          <t>PRD-0125-2</t>
        </is>
      </c>
      <c r="D251" s="3" t="inlineStr">
        <is>
          <t>校正紙 2</t>
        </is>
      </c>
      <c r="E251" s="11" t="n">
        <v>7146</v>
      </c>
      <c r="F251" s="11" t="n">
        <v>7861</v>
      </c>
      <c r="G251" s="3" t="inlineStr">
        <is>
          <t>編集部</t>
        </is>
      </c>
      <c r="H251" s="3" t="inlineStr">
        <is>
          <t>週刊PRESS</t>
        </is>
      </c>
      <c r="I251" s="9" t="n">
        <v>46092</v>
      </c>
      <c r="J251" s="3" t="inlineStr">
        <is>
          <t>要返却</t>
        </is>
      </c>
      <c r="K251" s="8" t="b">
        <v>1</v>
      </c>
      <c r="L251" s="9" t="n">
        <v>46139</v>
      </c>
    </row>
    <row r="252">
      <c r="A252" s="8" t="n">
        <v>251</v>
      </c>
      <c r="B252" s="8" t="n">
        <v>125</v>
      </c>
      <c r="C252" s="3" t="inlineStr">
        <is>
          <t>PRD-0125-3</t>
        </is>
      </c>
      <c r="D252" s="3" t="inlineStr">
        <is>
          <t>ノベルティ 3</t>
        </is>
      </c>
      <c r="E252" s="11" t="n">
        <v>7667</v>
      </c>
      <c r="F252" s="11" t="n">
        <v>8434</v>
      </c>
      <c r="G252" s="3" t="inlineStr">
        <is>
          <t>制作部</t>
        </is>
      </c>
      <c r="H252" s="3" t="inlineStr">
        <is>
          <t>月刊メディア</t>
        </is>
      </c>
      <c r="I252" s="9" t="n">
        <v>46091</v>
      </c>
      <c r="J252" s="3" t="inlineStr">
        <is>
          <t>先方確認済み</t>
        </is>
      </c>
      <c r="K252" s="8" t="b">
        <v>1</v>
      </c>
      <c r="L252" s="9" t="n">
        <v>46138</v>
      </c>
    </row>
    <row r="253">
      <c r="A253" s="8" t="n">
        <v>252</v>
      </c>
      <c r="B253" s="8" t="n">
        <v>126</v>
      </c>
      <c r="C253" s="3" t="inlineStr">
        <is>
          <t>PRD-0126-1</t>
        </is>
      </c>
      <c r="D253" s="3" t="inlineStr">
        <is>
          <t>校正紙 1</t>
        </is>
      </c>
      <c r="E253" s="11" t="n">
        <v>6942</v>
      </c>
      <c r="F253" s="11" t="n">
        <v>7636</v>
      </c>
      <c r="G253" s="3" t="inlineStr">
        <is>
          <t>編集部</t>
        </is>
      </c>
      <c r="H253" s="3" t="inlineStr">
        <is>
          <t>週刊PRESS</t>
        </is>
      </c>
      <c r="I253" s="9" t="n">
        <v>46094</v>
      </c>
      <c r="J253" s="3" t="inlineStr">
        <is>
          <t>要返却</t>
        </is>
      </c>
      <c r="K253" s="8" t="b">
        <v>1</v>
      </c>
      <c r="L253" s="9" t="n">
        <v>46143</v>
      </c>
    </row>
    <row r="254">
      <c r="A254" s="8" t="n">
        <v>253</v>
      </c>
      <c r="B254" s="8" t="n">
        <v>127</v>
      </c>
      <c r="C254" s="3" t="inlineStr">
        <is>
          <t>PRD-0127-1</t>
        </is>
      </c>
      <c r="D254" s="3" t="inlineStr">
        <is>
          <t>ノベルティ 1</t>
        </is>
      </c>
      <c r="E254" s="11" t="n">
        <v>7259</v>
      </c>
      <c r="F254" s="11" t="n">
        <v>7985</v>
      </c>
      <c r="G254" s="3" t="inlineStr">
        <is>
          <t>制作部</t>
        </is>
      </c>
      <c r="H254" s="3" t="inlineStr">
        <is>
          <t>月刊メディア</t>
        </is>
      </c>
      <c r="I254" s="9" t="n">
        <v>46095</v>
      </c>
      <c r="J254" s="3" t="inlineStr">
        <is>
          <t>先方確認済み</t>
        </is>
      </c>
      <c r="K254" s="8" t="b">
        <v>1</v>
      </c>
      <c r="L254" s="9" t="n">
        <v>46146</v>
      </c>
    </row>
    <row r="255">
      <c r="A255" s="8" t="n">
        <v>254</v>
      </c>
      <c r="B255" s="8" t="n">
        <v>127</v>
      </c>
      <c r="C255" s="3" t="inlineStr">
        <is>
          <t>PRD-0127-2</t>
        </is>
      </c>
      <c r="D255" s="3" t="inlineStr">
        <is>
          <t>プレスキット 2</t>
        </is>
      </c>
      <c r="E255" s="11" t="n">
        <v>7780</v>
      </c>
      <c r="F255" s="11" t="n">
        <v>8558</v>
      </c>
      <c r="G255" s="3" t="inlineStr">
        <is>
          <t>宣伝課</t>
        </is>
      </c>
      <c r="H255" s="3" t="inlineStr">
        <is>
          <t>ニュースWave</t>
        </is>
      </c>
      <c r="I255" s="9" t="n">
        <v>46094</v>
      </c>
      <c r="J255" s="3" t="inlineStr">
        <is>
          <t>再送不可</t>
        </is>
      </c>
      <c r="K255" s="8" t="b">
        <v>0</v>
      </c>
      <c r="L255" s="9" t="n"/>
    </row>
    <row r="256">
      <c r="A256" s="8" t="n">
        <v>255</v>
      </c>
      <c r="B256" s="8" t="n">
        <v>128</v>
      </c>
      <c r="C256" s="3" t="inlineStr">
        <is>
          <t>PRD-0128-1</t>
        </is>
      </c>
      <c r="D256" s="3" t="inlineStr">
        <is>
          <t>プレスキット 1</t>
        </is>
      </c>
      <c r="E256" s="11" t="n">
        <v>7576</v>
      </c>
      <c r="F256" s="11" t="n">
        <v>8334</v>
      </c>
      <c r="G256" s="3" t="inlineStr">
        <is>
          <t>宣伝課</t>
        </is>
      </c>
      <c r="H256" s="3" t="inlineStr">
        <is>
          <t>ニュースWave</t>
        </is>
      </c>
      <c r="I256" s="9" t="n">
        <v>46096</v>
      </c>
      <c r="J256" s="3" t="inlineStr">
        <is>
          <t>再送不可</t>
        </is>
      </c>
      <c r="K256" s="8" t="b">
        <v>0</v>
      </c>
      <c r="L256" s="9" t="n"/>
    </row>
    <row r="257">
      <c r="A257" s="8" t="n">
        <v>256</v>
      </c>
      <c r="B257" s="8" t="n">
        <v>128</v>
      </c>
      <c r="C257" s="3" t="inlineStr">
        <is>
          <t>PRD-0128-2</t>
        </is>
      </c>
      <c r="D257" s="3" t="inlineStr">
        <is>
          <t>販促POP 2</t>
        </is>
      </c>
      <c r="E257" s="11" t="n">
        <v>8097</v>
      </c>
      <c r="F257" s="11" t="n">
        <v>8907</v>
      </c>
      <c r="G257" s="3" t="inlineStr">
        <is>
          <t>営業部</t>
        </is>
      </c>
      <c r="H257" s="3" t="inlineStr">
        <is>
          <t>Biz Journal</t>
        </is>
      </c>
      <c r="I257" s="9" t="n">
        <v>46095</v>
      </c>
      <c r="J257" s="3" t="inlineStr">
        <is>
          <t>折れ注意</t>
        </is>
      </c>
      <c r="K257" s="8" t="b">
        <v>1</v>
      </c>
      <c r="L257" s="9" t="n">
        <v>46140</v>
      </c>
    </row>
    <row r="258">
      <c r="A258" s="8" t="n">
        <v>257</v>
      </c>
      <c r="B258" s="8" t="n">
        <v>128</v>
      </c>
      <c r="C258" s="3" t="inlineStr">
        <is>
          <t>PRD-0128-3</t>
        </is>
      </c>
      <c r="D258" s="3" t="inlineStr">
        <is>
          <t>取材資料 3</t>
        </is>
      </c>
      <c r="E258" s="11" t="n">
        <v>8618</v>
      </c>
      <c r="F258" s="11" t="n">
        <v>9480</v>
      </c>
      <c r="G258" s="3" t="inlineStr">
        <is>
          <t>広告代理店A</t>
        </is>
      </c>
      <c r="H258" s="3" t="inlineStr">
        <is>
          <t>Tech Line</t>
        </is>
      </c>
      <c r="I258" s="9" t="n">
        <v>46094</v>
      </c>
      <c r="J258" s="3" t="inlineStr">
        <is>
          <t>機密資料を含む</t>
        </is>
      </c>
      <c r="K258" s="8" t="b">
        <v>1</v>
      </c>
      <c r="L258" s="9" t="n">
        <v>46139</v>
      </c>
    </row>
    <row r="259">
      <c r="A259" s="8" t="n">
        <v>258</v>
      </c>
      <c r="B259" s="8" t="n">
        <v>129</v>
      </c>
      <c r="C259" s="3" t="inlineStr">
        <is>
          <t>PRD-0129-1</t>
        </is>
      </c>
      <c r="D259" s="3" t="inlineStr">
        <is>
          <t>販促POP 1</t>
        </is>
      </c>
      <c r="E259" s="11" t="n">
        <v>7893</v>
      </c>
      <c r="F259" s="11" t="n">
        <v>8682</v>
      </c>
      <c r="G259" s="3" t="inlineStr">
        <is>
          <t>営業部</t>
        </is>
      </c>
      <c r="H259" s="3" t="inlineStr">
        <is>
          <t>Biz Journal</t>
        </is>
      </c>
      <c r="I259" s="9" t="n">
        <v>46097</v>
      </c>
      <c r="J259" s="3" t="inlineStr">
        <is>
          <t>折れ注意</t>
        </is>
      </c>
      <c r="K259" s="8" t="b">
        <v>1</v>
      </c>
      <c r="L259" s="9" t="n">
        <v>46144</v>
      </c>
    </row>
    <row r="260">
      <c r="A260" s="8" t="n">
        <v>259</v>
      </c>
      <c r="B260" s="8" t="n">
        <v>130</v>
      </c>
      <c r="C260" s="3" t="inlineStr">
        <is>
          <t>PRD-0130-1</t>
        </is>
      </c>
      <c r="D260" s="3" t="inlineStr">
        <is>
          <t>取材資料 1</t>
        </is>
      </c>
      <c r="E260" s="11" t="n">
        <v>8210</v>
      </c>
      <c r="F260" s="11" t="n">
        <v>9031</v>
      </c>
      <c r="G260" s="3" t="inlineStr">
        <is>
          <t>広告代理店A</t>
        </is>
      </c>
      <c r="H260" s="3" t="inlineStr">
        <is>
          <t>Tech Line</t>
        </is>
      </c>
      <c r="I260" s="9" t="n">
        <v>46098</v>
      </c>
      <c r="J260" s="3" t="inlineStr">
        <is>
          <t>機密資料を含む</t>
        </is>
      </c>
      <c r="K260" s="8" t="b">
        <v>1</v>
      </c>
      <c r="L260" s="9" t="n">
        <v>46147</v>
      </c>
    </row>
    <row r="261">
      <c r="A261" s="8" t="n">
        <v>260</v>
      </c>
      <c r="B261" s="8" t="n">
        <v>130</v>
      </c>
      <c r="C261" s="3" t="inlineStr">
        <is>
          <t>PRD-0130-2</t>
        </is>
      </c>
      <c r="D261" s="3" t="inlineStr">
        <is>
          <t>サンプル冊子 2</t>
        </is>
      </c>
      <c r="E261" s="11" t="n">
        <v>8731</v>
      </c>
      <c r="F261" s="11" t="n">
        <v>9604</v>
      </c>
      <c r="G261" s="3" t="inlineStr">
        <is>
          <t>広告代理店B</t>
        </is>
      </c>
      <c r="H261" s="3" t="inlineStr">
        <is>
          <t>生活スタイル</t>
        </is>
      </c>
      <c r="I261" s="9" t="n">
        <v>46097</v>
      </c>
      <c r="J261" s="3" t="inlineStr">
        <is>
          <t>予備あり</t>
        </is>
      </c>
      <c r="K261" s="8" t="b">
        <v>1</v>
      </c>
      <c r="L261" s="9" t="n">
        <v>46146</v>
      </c>
    </row>
    <row r="262">
      <c r="A262" s="8" t="n">
        <v>261</v>
      </c>
      <c r="B262" s="8" t="n">
        <v>131</v>
      </c>
      <c r="C262" s="3" t="inlineStr">
        <is>
          <t>PRD-0131-1</t>
        </is>
      </c>
      <c r="D262" s="3" t="inlineStr">
        <is>
          <t>サンプル冊子 1</t>
        </is>
      </c>
      <c r="E262" s="11" t="n">
        <v>8527</v>
      </c>
      <c r="F262" s="11" t="n">
        <v>9380</v>
      </c>
      <c r="G262" s="3" t="inlineStr">
        <is>
          <t>広告代理店B</t>
        </is>
      </c>
      <c r="H262" s="3" t="inlineStr">
        <is>
          <t>生活スタイル</t>
        </is>
      </c>
      <c r="I262" s="9" t="n">
        <v>46099</v>
      </c>
      <c r="J262" s="3" t="inlineStr">
        <is>
          <t>予備あり</t>
        </is>
      </c>
      <c r="K262" s="8" t="b">
        <v>1</v>
      </c>
      <c r="L262" s="9" t="n">
        <v>46150</v>
      </c>
    </row>
    <row r="263">
      <c r="A263" s="8" t="n">
        <v>262</v>
      </c>
      <c r="B263" s="8" t="n">
        <v>131</v>
      </c>
      <c r="C263" s="3" t="inlineStr">
        <is>
          <t>PRD-0131-2</t>
        </is>
      </c>
      <c r="D263" s="3" t="inlineStr">
        <is>
          <t>広報写真 2</t>
        </is>
      </c>
      <c r="E263" s="11" t="n">
        <v>9048</v>
      </c>
      <c r="F263" s="11" t="n">
        <v>9953</v>
      </c>
      <c r="G263" s="3" t="inlineStr">
        <is>
          <t>編集部</t>
        </is>
      </c>
      <c r="H263" s="3" t="inlineStr">
        <is>
          <t>カルチャー通信</t>
        </is>
      </c>
      <c r="I263" s="9" t="n">
        <v>46098</v>
      </c>
      <c r="J263" s="3" t="inlineStr">
        <is>
          <t>急ぎ対応</t>
        </is>
      </c>
      <c r="K263" s="8" t="b">
        <v>0</v>
      </c>
      <c r="L263" s="9" t="n"/>
    </row>
    <row r="264">
      <c r="A264" s="8" t="n">
        <v>263</v>
      </c>
      <c r="B264" s="8" t="n">
        <v>131</v>
      </c>
      <c r="C264" s="3" t="inlineStr">
        <is>
          <t>PRD-0131-3</t>
        </is>
      </c>
      <c r="D264" s="3" t="inlineStr">
        <is>
          <t>掲載誌 3</t>
        </is>
      </c>
      <c r="E264" s="11" t="n">
        <v>9569</v>
      </c>
      <c r="F264" s="11" t="n">
        <v>10526</v>
      </c>
      <c r="G264" s="3" t="inlineStr">
        <is>
          <t>制作部</t>
        </is>
      </c>
      <c r="H264" s="3" t="inlineStr">
        <is>
          <t>週刊PRESS</t>
        </is>
      </c>
      <c r="I264" s="9" t="n">
        <v>46097</v>
      </c>
      <c r="J264" s="3" t="inlineStr">
        <is>
          <t>要返却</t>
        </is>
      </c>
      <c r="K264" s="8" t="b">
        <v>1</v>
      </c>
      <c r="L264" s="9" t="n">
        <v>46148</v>
      </c>
    </row>
    <row r="265">
      <c r="A265" s="8" t="n">
        <v>264</v>
      </c>
      <c r="B265" s="8" t="n">
        <v>132</v>
      </c>
      <c r="C265" s="3" t="inlineStr">
        <is>
          <t>PRD-0132-1</t>
        </is>
      </c>
      <c r="D265" s="3" t="inlineStr">
        <is>
          <t>広報写真 1</t>
        </is>
      </c>
      <c r="E265" s="11" t="n">
        <v>8844</v>
      </c>
      <c r="F265" s="11" t="n">
        <v>9728</v>
      </c>
      <c r="G265" s="3" t="inlineStr">
        <is>
          <t>編集部</t>
        </is>
      </c>
      <c r="H265" s="3" t="inlineStr">
        <is>
          <t>カルチャー通信</t>
        </is>
      </c>
      <c r="I265" s="9" t="n">
        <v>46100</v>
      </c>
      <c r="J265" s="3" t="inlineStr">
        <is>
          <t>急ぎ対応</t>
        </is>
      </c>
      <c r="K265" s="8" t="b">
        <v>0</v>
      </c>
      <c r="L265" s="9" t="n"/>
    </row>
    <row r="266">
      <c r="A266" s="8" t="n">
        <v>265</v>
      </c>
      <c r="B266" s="8" t="n">
        <v>133</v>
      </c>
      <c r="C266" s="3" t="inlineStr">
        <is>
          <t>PRD-0133-1</t>
        </is>
      </c>
      <c r="D266" s="3" t="inlineStr">
        <is>
          <t>掲載誌 1</t>
        </is>
      </c>
      <c r="E266" s="11" t="n">
        <v>9161</v>
      </c>
      <c r="F266" s="11" t="n">
        <v>10077</v>
      </c>
      <c r="G266" s="3" t="inlineStr">
        <is>
          <t>制作部</t>
        </is>
      </c>
      <c r="H266" s="3" t="inlineStr">
        <is>
          <t>週刊PRESS</t>
        </is>
      </c>
      <c r="I266" s="9" t="n">
        <v>46101</v>
      </c>
      <c r="J266" s="3" t="inlineStr">
        <is>
          <t>要返却</t>
        </is>
      </c>
      <c r="K266" s="8" t="b">
        <v>1</v>
      </c>
      <c r="L266" s="9" t="n">
        <v>46156</v>
      </c>
    </row>
    <row r="267">
      <c r="A267" s="8" t="n">
        <v>266</v>
      </c>
      <c r="B267" s="8" t="n">
        <v>133</v>
      </c>
      <c r="C267" s="3" t="inlineStr">
        <is>
          <t>PRD-0133-2</t>
        </is>
      </c>
      <c r="D267" s="3" t="inlineStr">
        <is>
          <t>校正紙 2</t>
        </is>
      </c>
      <c r="E267" s="11" t="n">
        <v>9682</v>
      </c>
      <c r="F267" s="11" t="n">
        <v>10650</v>
      </c>
      <c r="G267" s="3" t="inlineStr">
        <is>
          <t>宣伝課</t>
        </is>
      </c>
      <c r="H267" s="3" t="inlineStr">
        <is>
          <t>月刊メディア</t>
        </is>
      </c>
      <c r="I267" s="9" t="n">
        <v>46100</v>
      </c>
      <c r="J267" s="3" t="inlineStr">
        <is>
          <t>先方確認済み</t>
        </is>
      </c>
      <c r="K267" s="8" t="b">
        <v>1</v>
      </c>
      <c r="L267" s="9" t="n">
        <v>46155</v>
      </c>
    </row>
    <row r="268">
      <c r="A268" s="8" t="n">
        <v>267</v>
      </c>
      <c r="B268" s="8" t="n">
        <v>134</v>
      </c>
      <c r="C268" s="3" t="inlineStr">
        <is>
          <t>PRD-0134-1</t>
        </is>
      </c>
      <c r="D268" s="3" t="inlineStr">
        <is>
          <t>校正紙 1</t>
        </is>
      </c>
      <c r="E268" s="11" t="n">
        <v>9478</v>
      </c>
      <c r="F268" s="11" t="n">
        <v>10426</v>
      </c>
      <c r="G268" s="3" t="inlineStr">
        <is>
          <t>宣伝課</t>
        </is>
      </c>
      <c r="H268" s="3" t="inlineStr">
        <is>
          <t>月刊メディア</t>
        </is>
      </c>
      <c r="I268" s="9" t="n">
        <v>46102</v>
      </c>
      <c r="J268" s="3" t="inlineStr">
        <is>
          <t>先方確認済み</t>
        </is>
      </c>
      <c r="K268" s="8" t="b">
        <v>1</v>
      </c>
      <c r="L268" s="9" t="n">
        <v>46159</v>
      </c>
    </row>
    <row r="269">
      <c r="A269" s="8" t="n">
        <v>268</v>
      </c>
      <c r="B269" s="8" t="n">
        <v>134</v>
      </c>
      <c r="C269" s="3" t="inlineStr">
        <is>
          <t>PRD-0134-2</t>
        </is>
      </c>
      <c r="D269" s="3" t="inlineStr">
        <is>
          <t>ノベルティ 2</t>
        </is>
      </c>
      <c r="E269" s="11" t="n">
        <v>9999</v>
      </c>
      <c r="F269" s="11" t="n">
        <v>10999</v>
      </c>
      <c r="G269" s="3" t="inlineStr">
        <is>
          <t>営業部</t>
        </is>
      </c>
      <c r="H269" s="3" t="inlineStr">
        <is>
          <t>ニュースWave</t>
        </is>
      </c>
      <c r="I269" s="9" t="n">
        <v>46146</v>
      </c>
      <c r="J269" s="3" t="inlineStr">
        <is>
          <t>再送不可</t>
        </is>
      </c>
      <c r="K269" s="8" t="b">
        <v>1</v>
      </c>
      <c r="L269" s="9" t="n">
        <v>46158</v>
      </c>
    </row>
    <row r="270">
      <c r="A270" s="8" t="n">
        <v>269</v>
      </c>
      <c r="B270" s="8" t="n">
        <v>134</v>
      </c>
      <c r="C270" s="3" t="inlineStr">
        <is>
          <t>PRD-0134-3</t>
        </is>
      </c>
      <c r="D270" s="3" t="inlineStr">
        <is>
          <t>プレスキット 3</t>
        </is>
      </c>
      <c r="E270" s="11" t="n">
        <v>10520</v>
      </c>
      <c r="F270" s="11" t="n">
        <v>11572</v>
      </c>
      <c r="G270" s="3" t="inlineStr">
        <is>
          <t>広告代理店A</t>
        </is>
      </c>
      <c r="H270" s="3" t="inlineStr">
        <is>
          <t>Biz Journal</t>
        </is>
      </c>
      <c r="I270" s="9" t="n">
        <v>46145</v>
      </c>
      <c r="J270" s="3" t="inlineStr">
        <is>
          <t>折れ注意</t>
        </is>
      </c>
      <c r="K270" s="8" t="b">
        <v>0</v>
      </c>
      <c r="L270" s="9" t="n"/>
    </row>
    <row r="271">
      <c r="A271" s="8" t="n">
        <v>270</v>
      </c>
      <c r="B271" s="8" t="n">
        <v>135</v>
      </c>
      <c r="C271" s="3" t="inlineStr">
        <is>
          <t>PRD-0135-1</t>
        </is>
      </c>
      <c r="D271" s="3" t="inlineStr">
        <is>
          <t>ノベルティ 1</t>
        </is>
      </c>
      <c r="E271" s="11" t="n">
        <v>9795</v>
      </c>
      <c r="F271" s="11" t="n">
        <v>10774</v>
      </c>
      <c r="G271" s="3" t="inlineStr">
        <is>
          <t>営業部</t>
        </is>
      </c>
      <c r="H271" s="3" t="inlineStr">
        <is>
          <t>ニュースWave</t>
        </is>
      </c>
      <c r="I271" s="9" t="n">
        <v>46148</v>
      </c>
      <c r="J271" s="3" t="inlineStr">
        <is>
          <t>再送不可</t>
        </is>
      </c>
      <c r="K271" s="8" t="b">
        <v>1</v>
      </c>
      <c r="L271" s="9" t="n">
        <v>46162</v>
      </c>
    </row>
    <row r="272">
      <c r="A272" s="8" t="n">
        <v>271</v>
      </c>
      <c r="B272" s="8" t="n">
        <v>136</v>
      </c>
      <c r="C272" s="3" t="inlineStr">
        <is>
          <t>PRD-0136-1</t>
        </is>
      </c>
      <c r="D272" s="3" t="inlineStr">
        <is>
          <t>プレスキット 1</t>
        </is>
      </c>
      <c r="E272" s="11" t="n">
        <v>10112</v>
      </c>
      <c r="F272" s="11" t="n">
        <v>11123</v>
      </c>
      <c r="G272" s="3" t="inlineStr">
        <is>
          <t>広告代理店A</t>
        </is>
      </c>
      <c r="H272" s="3" t="inlineStr">
        <is>
          <t>Biz Journal</t>
        </is>
      </c>
      <c r="I272" s="9" t="n">
        <v>46149</v>
      </c>
      <c r="J272" s="3" t="inlineStr">
        <is>
          <t>折れ注意</t>
        </is>
      </c>
      <c r="K272" s="8" t="b">
        <v>0</v>
      </c>
      <c r="L272" s="9" t="n"/>
    </row>
    <row r="273">
      <c r="A273" s="8" t="n">
        <v>272</v>
      </c>
      <c r="B273" s="8" t="n">
        <v>136</v>
      </c>
      <c r="C273" s="3" t="inlineStr">
        <is>
          <t>PRD-0136-2</t>
        </is>
      </c>
      <c r="D273" s="3" t="inlineStr">
        <is>
          <t>販促POP 2</t>
        </is>
      </c>
      <c r="E273" s="11" t="n">
        <v>10633</v>
      </c>
      <c r="F273" s="11" t="n">
        <v>11696</v>
      </c>
      <c r="G273" s="3" t="inlineStr">
        <is>
          <t>広告代理店B</t>
        </is>
      </c>
      <c r="H273" s="3" t="inlineStr">
        <is>
          <t>Tech Line</t>
        </is>
      </c>
      <c r="I273" s="9" t="n">
        <v>46148</v>
      </c>
      <c r="J273" s="3" t="inlineStr">
        <is>
          <t>機密資料を含む</t>
        </is>
      </c>
      <c r="K273" s="8" t="b">
        <v>1</v>
      </c>
      <c r="L273" s="9" t="n">
        <v>46156</v>
      </c>
    </row>
    <row r="274">
      <c r="A274" s="8" t="n">
        <v>273</v>
      </c>
      <c r="B274" s="8" t="n">
        <v>137</v>
      </c>
      <c r="C274" s="3" t="inlineStr">
        <is>
          <t>PRD-0137-1</t>
        </is>
      </c>
      <c r="D274" s="3" t="inlineStr">
        <is>
          <t>販促POP 1</t>
        </is>
      </c>
      <c r="E274" s="11" t="n">
        <v>10429</v>
      </c>
      <c r="F274" s="11" t="n">
        <v>11472</v>
      </c>
      <c r="G274" s="3" t="inlineStr">
        <is>
          <t>広告代理店B</t>
        </is>
      </c>
      <c r="H274" s="3" t="inlineStr">
        <is>
          <t>Tech Line</t>
        </is>
      </c>
      <c r="I274" s="9" t="n">
        <v>46150</v>
      </c>
      <c r="J274" s="3" t="inlineStr">
        <is>
          <t>機密資料を含む</t>
        </is>
      </c>
      <c r="K274" s="8" t="b">
        <v>1</v>
      </c>
      <c r="L274" s="9" t="n">
        <v>46160</v>
      </c>
    </row>
    <row r="275">
      <c r="A275" s="8" t="n">
        <v>274</v>
      </c>
      <c r="B275" s="8" t="n">
        <v>137</v>
      </c>
      <c r="C275" s="3" t="inlineStr">
        <is>
          <t>PRD-0137-2</t>
        </is>
      </c>
      <c r="D275" s="3" t="inlineStr">
        <is>
          <t>取材資料 2</t>
        </is>
      </c>
      <c r="E275" s="11" t="n">
        <v>10950</v>
      </c>
      <c r="F275" s="11" t="n">
        <v>12045</v>
      </c>
      <c r="G275" s="3" t="inlineStr">
        <is>
          <t>編集部</t>
        </is>
      </c>
      <c r="H275" s="3" t="inlineStr">
        <is>
          <t>生活スタイル</t>
        </is>
      </c>
      <c r="I275" s="9" t="n">
        <v>46149</v>
      </c>
      <c r="J275" s="3" t="inlineStr">
        <is>
          <t>予備あり</t>
        </is>
      </c>
      <c r="K275" s="8" t="b">
        <v>1</v>
      </c>
      <c r="L275" s="9" t="n">
        <v>46159</v>
      </c>
    </row>
    <row r="276">
      <c r="A276" s="8" t="n">
        <v>275</v>
      </c>
      <c r="B276" s="8" t="n">
        <v>137</v>
      </c>
      <c r="C276" s="3" t="inlineStr">
        <is>
          <t>PRD-0137-3</t>
        </is>
      </c>
      <c r="D276" s="3" t="inlineStr">
        <is>
          <t>サンプル冊子 3</t>
        </is>
      </c>
      <c r="E276" s="11" t="n">
        <v>11471</v>
      </c>
      <c r="F276" s="11" t="n">
        <v>12618</v>
      </c>
      <c r="G276" s="3" t="inlineStr">
        <is>
          <t>制作部</t>
        </is>
      </c>
      <c r="H276" s="3" t="inlineStr">
        <is>
          <t>カルチャー通信</t>
        </is>
      </c>
      <c r="I276" s="9" t="n">
        <v>46148</v>
      </c>
      <c r="J276" s="3" t="inlineStr">
        <is>
          <t>急ぎ対応</t>
        </is>
      </c>
      <c r="K276" s="8" t="b">
        <v>1</v>
      </c>
      <c r="L276" s="9" t="n">
        <v>46158</v>
      </c>
    </row>
    <row r="277">
      <c r="A277" s="8" t="n">
        <v>276</v>
      </c>
      <c r="B277" s="8" t="n">
        <v>138</v>
      </c>
      <c r="C277" s="3" t="inlineStr">
        <is>
          <t>PRD-0138-1</t>
        </is>
      </c>
      <c r="D277" s="3" t="inlineStr">
        <is>
          <t>取材資料 1</t>
        </is>
      </c>
      <c r="E277" s="11" t="n">
        <v>10746</v>
      </c>
      <c r="F277" s="11" t="n">
        <v>11821</v>
      </c>
      <c r="G277" s="3" t="inlineStr">
        <is>
          <t>編集部</t>
        </is>
      </c>
      <c r="H277" s="3" t="inlineStr">
        <is>
          <t>生活スタイル</t>
        </is>
      </c>
      <c r="I277" s="9" t="n">
        <v>46151</v>
      </c>
      <c r="J277" s="3" t="inlineStr">
        <is>
          <t>予備あり</t>
        </is>
      </c>
      <c r="K277" s="8" t="b">
        <v>1</v>
      </c>
      <c r="L277" s="9" t="n">
        <v>46163</v>
      </c>
    </row>
    <row r="278">
      <c r="A278" s="8" t="n">
        <v>277</v>
      </c>
      <c r="B278" s="8" t="n">
        <v>139</v>
      </c>
      <c r="C278" s="3" t="inlineStr">
        <is>
          <t>PRD-0139-1</t>
        </is>
      </c>
      <c r="D278" s="3" t="inlineStr">
        <is>
          <t>サンプル冊子 1</t>
        </is>
      </c>
      <c r="E278" s="11" t="n">
        <v>11063</v>
      </c>
      <c r="F278" s="11" t="n">
        <v>12169</v>
      </c>
      <c r="G278" s="3" t="inlineStr">
        <is>
          <t>制作部</t>
        </is>
      </c>
      <c r="H278" s="3" t="inlineStr">
        <is>
          <t>カルチャー通信</t>
        </is>
      </c>
      <c r="I278" s="9" t="n">
        <v>46152</v>
      </c>
      <c r="J278" s="3" t="inlineStr">
        <is>
          <t>急ぎ対応</t>
        </is>
      </c>
      <c r="K278" s="8" t="b">
        <v>1</v>
      </c>
      <c r="L278" s="9" t="n">
        <v>46166</v>
      </c>
    </row>
    <row r="279">
      <c r="A279" s="8" t="n">
        <v>278</v>
      </c>
      <c r="B279" s="8" t="n">
        <v>139</v>
      </c>
      <c r="C279" s="3" t="inlineStr">
        <is>
          <t>PRD-0139-2</t>
        </is>
      </c>
      <c r="D279" s="3" t="inlineStr">
        <is>
          <t>広報写真 2</t>
        </is>
      </c>
      <c r="E279" s="11" t="n">
        <v>11584</v>
      </c>
      <c r="F279" s="11" t="n">
        <v>12742</v>
      </c>
      <c r="G279" s="3" t="inlineStr">
        <is>
          <t>宣伝課</t>
        </is>
      </c>
      <c r="H279" s="3" t="inlineStr">
        <is>
          <t>週刊PRESS</t>
        </is>
      </c>
      <c r="I279" s="9" t="n">
        <v>46151</v>
      </c>
      <c r="J279" s="3" t="inlineStr">
        <is>
          <t>要返却</t>
        </is>
      </c>
      <c r="K279" s="8" t="b">
        <v>0</v>
      </c>
      <c r="L279" s="9" t="n"/>
    </row>
    <row r="280">
      <c r="A280" s="8" t="n">
        <v>279</v>
      </c>
      <c r="B280" s="8" t="n">
        <v>140</v>
      </c>
      <c r="C280" s="3" t="inlineStr">
        <is>
          <t>PRD-0140-1</t>
        </is>
      </c>
      <c r="D280" s="3" t="inlineStr">
        <is>
          <t>広報写真 1</t>
        </is>
      </c>
      <c r="E280" s="11" t="n">
        <v>11380</v>
      </c>
      <c r="F280" s="11" t="n">
        <v>12518</v>
      </c>
      <c r="G280" s="3" t="inlineStr">
        <is>
          <t>宣伝課</t>
        </is>
      </c>
      <c r="H280" s="3" t="inlineStr">
        <is>
          <t>週刊PRESS</t>
        </is>
      </c>
      <c r="I280" s="9" t="n">
        <v>46153</v>
      </c>
      <c r="J280" s="3" t="inlineStr">
        <is>
          <t>要返却</t>
        </is>
      </c>
      <c r="K280" s="8" t="b">
        <v>0</v>
      </c>
      <c r="L280" s="9" t="n"/>
    </row>
    <row r="281">
      <c r="A281" s="8" t="n">
        <v>280</v>
      </c>
      <c r="B281" s="8" t="n">
        <v>140</v>
      </c>
      <c r="C281" s="3" t="inlineStr">
        <is>
          <t>PRD-0140-2</t>
        </is>
      </c>
      <c r="D281" s="3" t="inlineStr">
        <is>
          <t>掲載誌 2</t>
        </is>
      </c>
      <c r="E281" s="11" t="n">
        <v>11901</v>
      </c>
      <c r="F281" s="11" t="n">
        <v>13091</v>
      </c>
      <c r="G281" s="3" t="inlineStr">
        <is>
          <t>営業部</t>
        </is>
      </c>
      <c r="H281" s="3" t="inlineStr">
        <is>
          <t>月刊メディア</t>
        </is>
      </c>
      <c r="I281" s="9" t="n">
        <v>46152</v>
      </c>
      <c r="J281" s="3" t="inlineStr">
        <is>
          <t>先方確認済み</t>
        </is>
      </c>
      <c r="K281" s="8" t="b">
        <v>1</v>
      </c>
      <c r="L281" s="9" t="n">
        <v>46168</v>
      </c>
    </row>
    <row r="282">
      <c r="A282" s="8" t="n">
        <v>281</v>
      </c>
      <c r="B282" s="8" t="n">
        <v>140</v>
      </c>
      <c r="C282" s="3" t="inlineStr">
        <is>
          <t>PRD-0140-3</t>
        </is>
      </c>
      <c r="D282" s="3" t="inlineStr">
        <is>
          <t>校正紙 3</t>
        </is>
      </c>
      <c r="E282" s="11" t="n">
        <v>12422</v>
      </c>
      <c r="F282" s="11" t="n">
        <v>13664</v>
      </c>
      <c r="G282" s="3" t="inlineStr">
        <is>
          <t>広告代理店A</t>
        </is>
      </c>
      <c r="H282" s="3" t="inlineStr">
        <is>
          <t>ニュースWave</t>
        </is>
      </c>
      <c r="I282" s="9" t="n">
        <v>46151</v>
      </c>
      <c r="J282" s="3" t="inlineStr">
        <is>
          <t>再送不可</t>
        </is>
      </c>
      <c r="K282" s="8" t="b">
        <v>1</v>
      </c>
      <c r="L282" s="9" t="n">
        <v>46167</v>
      </c>
    </row>
    <row r="283">
      <c r="A283" s="8" t="n">
        <v>282</v>
      </c>
      <c r="B283" s="8" t="n">
        <v>141</v>
      </c>
      <c r="C283" s="3" t="inlineStr">
        <is>
          <t>PRD-0141-1</t>
        </is>
      </c>
      <c r="D283" s="3" t="inlineStr">
        <is>
          <t>掲載誌 1</t>
        </is>
      </c>
      <c r="E283" s="11" t="n">
        <v>11697</v>
      </c>
      <c r="F283" s="11" t="n">
        <v>12867</v>
      </c>
      <c r="G283" s="3" t="inlineStr">
        <is>
          <t>営業部</t>
        </is>
      </c>
      <c r="H283" s="3" t="inlineStr">
        <is>
          <t>月刊メディア</t>
        </is>
      </c>
      <c r="I283" s="9" t="n">
        <v>46154</v>
      </c>
      <c r="J283" s="3" t="inlineStr">
        <is>
          <t>先方確認済み</t>
        </is>
      </c>
      <c r="K283" s="8" t="b">
        <v>1</v>
      </c>
      <c r="L283" s="9" t="n">
        <v>46172</v>
      </c>
    </row>
    <row r="284">
      <c r="A284" s="8" t="n">
        <v>283</v>
      </c>
      <c r="B284" s="8" t="n">
        <v>142</v>
      </c>
      <c r="C284" s="3" t="inlineStr">
        <is>
          <t>PRD-0142-1</t>
        </is>
      </c>
      <c r="D284" s="3" t="inlineStr">
        <is>
          <t>校正紙 1</t>
        </is>
      </c>
      <c r="E284" s="11" t="n">
        <v>12014</v>
      </c>
      <c r="F284" s="11" t="n">
        <v>13215</v>
      </c>
      <c r="G284" s="3" t="inlineStr">
        <is>
          <t>広告代理店A</t>
        </is>
      </c>
      <c r="H284" s="3" t="inlineStr">
        <is>
          <t>ニュースWave</t>
        </is>
      </c>
      <c r="I284" s="9" t="n">
        <v>46155</v>
      </c>
      <c r="J284" s="3" t="inlineStr">
        <is>
          <t>再送不可</t>
        </is>
      </c>
      <c r="K284" s="8" t="b">
        <v>1</v>
      </c>
      <c r="L284" s="9" t="n">
        <v>46175</v>
      </c>
    </row>
    <row r="285">
      <c r="A285" s="8" t="n">
        <v>284</v>
      </c>
      <c r="B285" s="8" t="n">
        <v>142</v>
      </c>
      <c r="C285" s="3" t="inlineStr">
        <is>
          <t>PRD-0142-2</t>
        </is>
      </c>
      <c r="D285" s="3" t="inlineStr">
        <is>
          <t>ノベルティ 2</t>
        </is>
      </c>
      <c r="E285" s="11" t="n">
        <v>12535</v>
      </c>
      <c r="F285" s="11" t="n">
        <v>13789</v>
      </c>
      <c r="G285" s="3" t="inlineStr">
        <is>
          <t>広告代理店B</t>
        </is>
      </c>
      <c r="H285" s="3" t="inlineStr">
        <is>
          <t>Biz Journal</t>
        </is>
      </c>
      <c r="I285" s="9" t="n">
        <v>46154</v>
      </c>
      <c r="J285" s="3" t="inlineStr">
        <is>
          <t>折れ注意</t>
        </is>
      </c>
      <c r="K285" s="8" t="b">
        <v>1</v>
      </c>
      <c r="L285" s="9" t="n">
        <v>46174</v>
      </c>
    </row>
    <row r="286">
      <c r="A286" s="8" t="n">
        <v>285</v>
      </c>
      <c r="B286" s="8" t="n">
        <v>143</v>
      </c>
      <c r="C286" s="3" t="inlineStr">
        <is>
          <t>PRD-0143-1</t>
        </is>
      </c>
      <c r="D286" s="3" t="inlineStr">
        <is>
          <t>ノベルティ 1</t>
        </is>
      </c>
      <c r="E286" s="11" t="n">
        <v>12331</v>
      </c>
      <c r="F286" s="11" t="n">
        <v>13564</v>
      </c>
      <c r="G286" s="3" t="inlineStr">
        <is>
          <t>広告代理店B</t>
        </is>
      </c>
      <c r="H286" s="3" t="inlineStr">
        <is>
          <t>Biz Journal</t>
        </is>
      </c>
      <c r="I286" s="9" t="n">
        <v>46156</v>
      </c>
      <c r="J286" s="3" t="inlineStr">
        <is>
          <t>折れ注意</t>
        </is>
      </c>
      <c r="K286" s="8" t="b">
        <v>1</v>
      </c>
      <c r="L286" s="9" t="n">
        <v>46178</v>
      </c>
    </row>
    <row r="287">
      <c r="A287" s="8" t="n">
        <v>286</v>
      </c>
      <c r="B287" s="8" t="n">
        <v>143</v>
      </c>
      <c r="C287" s="3" t="inlineStr">
        <is>
          <t>PRD-0143-2</t>
        </is>
      </c>
      <c r="D287" s="3" t="inlineStr">
        <is>
          <t>プレスキット 2</t>
        </is>
      </c>
      <c r="E287" s="11" t="n">
        <v>12852</v>
      </c>
      <c r="F287" s="11" t="n">
        <v>14137</v>
      </c>
      <c r="G287" s="3" t="inlineStr">
        <is>
          <t>編集部</t>
        </is>
      </c>
      <c r="H287" s="3" t="inlineStr">
        <is>
          <t>Tech Line</t>
        </is>
      </c>
      <c r="I287" s="9" t="n">
        <v>46155</v>
      </c>
      <c r="J287" s="3" t="inlineStr">
        <is>
          <t>機密資料を含む</t>
        </is>
      </c>
      <c r="K287" s="8" t="b">
        <v>0</v>
      </c>
      <c r="L287" s="9" t="n"/>
    </row>
    <row r="288">
      <c r="A288" s="8" t="n">
        <v>287</v>
      </c>
      <c r="B288" s="8" t="n">
        <v>143</v>
      </c>
      <c r="C288" s="3" t="inlineStr">
        <is>
          <t>PRD-0143-3</t>
        </is>
      </c>
      <c r="D288" s="3" t="inlineStr">
        <is>
          <t>販促POP 3</t>
        </is>
      </c>
      <c r="E288" s="11" t="n">
        <v>13373</v>
      </c>
      <c r="F288" s="11" t="n">
        <v>14710</v>
      </c>
      <c r="G288" s="3" t="inlineStr">
        <is>
          <t>制作部</t>
        </is>
      </c>
      <c r="H288" s="3" t="inlineStr">
        <is>
          <t>生活スタイル</t>
        </is>
      </c>
      <c r="I288" s="9" t="n">
        <v>46154</v>
      </c>
      <c r="J288" s="3" t="inlineStr">
        <is>
          <t>予備あり</t>
        </is>
      </c>
      <c r="K288" s="8" t="b">
        <v>1</v>
      </c>
      <c r="L288" s="9" t="n">
        <v>46176</v>
      </c>
    </row>
    <row r="289">
      <c r="A289" s="8" t="n">
        <v>288</v>
      </c>
      <c r="B289" s="8" t="n">
        <v>144</v>
      </c>
      <c r="C289" s="3" t="inlineStr">
        <is>
          <t>PRD-0144-1</t>
        </is>
      </c>
      <c r="D289" s="3" t="inlineStr">
        <is>
          <t>プレスキット 1</t>
        </is>
      </c>
      <c r="E289" s="11" t="n">
        <v>12648</v>
      </c>
      <c r="F289" s="11" t="n">
        <v>13913</v>
      </c>
      <c r="G289" s="3" t="inlineStr">
        <is>
          <t>編集部</t>
        </is>
      </c>
      <c r="H289" s="3" t="inlineStr">
        <is>
          <t>Tech Line</t>
        </is>
      </c>
      <c r="I289" s="9" t="n">
        <v>46157</v>
      </c>
      <c r="J289" s="3" t="inlineStr">
        <is>
          <t>機密資料を含む</t>
        </is>
      </c>
      <c r="K289" s="8" t="b">
        <v>0</v>
      </c>
      <c r="L289" s="9" t="n"/>
    </row>
    <row r="290">
      <c r="A290" s="8" t="n">
        <v>289</v>
      </c>
      <c r="B290" s="8" t="n">
        <v>145</v>
      </c>
      <c r="C290" s="3" t="inlineStr">
        <is>
          <t>PRD-0145-1</t>
        </is>
      </c>
      <c r="D290" s="3" t="inlineStr">
        <is>
          <t>販促POP 1</t>
        </is>
      </c>
      <c r="E290" s="11" t="n">
        <v>12965</v>
      </c>
      <c r="F290" s="11" t="n">
        <v>14262</v>
      </c>
      <c r="G290" s="3" t="inlineStr">
        <is>
          <t>制作部</t>
        </is>
      </c>
      <c r="H290" s="3" t="inlineStr">
        <is>
          <t>生活スタイル</t>
        </is>
      </c>
      <c r="I290" s="9" t="n">
        <v>46158</v>
      </c>
      <c r="J290" s="3" t="inlineStr">
        <is>
          <t>予備あり</t>
        </is>
      </c>
      <c r="K290" s="8" t="b">
        <v>1</v>
      </c>
      <c r="L290" s="9" t="n">
        <v>46176</v>
      </c>
    </row>
    <row r="291">
      <c r="A291" s="8" t="n">
        <v>290</v>
      </c>
      <c r="B291" s="8" t="n">
        <v>145</v>
      </c>
      <c r="C291" s="3" t="inlineStr">
        <is>
          <t>PRD-0145-2</t>
        </is>
      </c>
      <c r="D291" s="3" t="inlineStr">
        <is>
          <t>取材資料 2</t>
        </is>
      </c>
      <c r="E291" s="11" t="n">
        <v>13486</v>
      </c>
      <c r="F291" s="11" t="n">
        <v>14835</v>
      </c>
      <c r="G291" s="3" t="inlineStr">
        <is>
          <t>宣伝課</t>
        </is>
      </c>
      <c r="H291" s="3" t="inlineStr">
        <is>
          <t>カルチャー通信</t>
        </is>
      </c>
      <c r="I291" s="9" t="n">
        <v>46157</v>
      </c>
      <c r="J291" s="3" t="inlineStr">
        <is>
          <t>急ぎ対応</t>
        </is>
      </c>
      <c r="K291" s="8" t="b">
        <v>1</v>
      </c>
      <c r="L291" s="9" t="n">
        <v>46175</v>
      </c>
    </row>
    <row r="292">
      <c r="A292" s="8" t="n">
        <v>291</v>
      </c>
      <c r="B292" s="8" t="n">
        <v>146</v>
      </c>
      <c r="C292" s="3" t="inlineStr">
        <is>
          <t>PRD-0146-1</t>
        </is>
      </c>
      <c r="D292" s="3" t="inlineStr">
        <is>
          <t>取材資料 1</t>
        </is>
      </c>
      <c r="E292" s="11" t="n">
        <v>13282</v>
      </c>
      <c r="F292" s="11" t="n">
        <v>14610</v>
      </c>
      <c r="G292" s="3" t="inlineStr">
        <is>
          <t>宣伝課</t>
        </is>
      </c>
      <c r="H292" s="3" t="inlineStr">
        <is>
          <t>カルチャー通信</t>
        </is>
      </c>
      <c r="I292" s="9" t="n">
        <v>46159</v>
      </c>
      <c r="J292" s="3" t="inlineStr">
        <is>
          <t>急ぎ対応</t>
        </is>
      </c>
      <c r="K292" s="8" t="b">
        <v>1</v>
      </c>
      <c r="L292" s="9" t="n">
        <v>46179</v>
      </c>
    </row>
    <row r="293">
      <c r="A293" s="8" t="n">
        <v>292</v>
      </c>
      <c r="B293" s="8" t="n">
        <v>146</v>
      </c>
      <c r="C293" s="3" t="inlineStr">
        <is>
          <t>PRD-0146-2</t>
        </is>
      </c>
      <c r="D293" s="3" t="inlineStr">
        <is>
          <t>サンプル冊子 2</t>
        </is>
      </c>
      <c r="E293" s="11" t="n">
        <v>13803</v>
      </c>
      <c r="F293" s="11" t="n">
        <v>15183</v>
      </c>
      <c r="G293" s="3" t="inlineStr">
        <is>
          <t>営業部</t>
        </is>
      </c>
      <c r="H293" s="3" t="inlineStr">
        <is>
          <t>週刊PRESS</t>
        </is>
      </c>
      <c r="I293" s="9" t="n">
        <v>46158</v>
      </c>
      <c r="J293" s="3" t="inlineStr">
        <is>
          <t>要返却</t>
        </is>
      </c>
      <c r="K293" s="8" t="b">
        <v>1</v>
      </c>
      <c r="L293" s="9" t="n">
        <v>46178</v>
      </c>
    </row>
    <row r="294">
      <c r="A294" s="8" t="n">
        <v>293</v>
      </c>
      <c r="B294" s="8" t="n">
        <v>146</v>
      </c>
      <c r="C294" s="3" t="inlineStr">
        <is>
          <t>PRD-0146-3</t>
        </is>
      </c>
      <c r="D294" s="3" t="inlineStr">
        <is>
          <t>広報写真 3</t>
        </is>
      </c>
      <c r="E294" s="11" t="n">
        <v>14324</v>
      </c>
      <c r="F294" s="11" t="n">
        <v>15756</v>
      </c>
      <c r="G294" s="3" t="inlineStr">
        <is>
          <t>広告代理店A</t>
        </is>
      </c>
      <c r="H294" s="3" t="inlineStr">
        <is>
          <t>月刊メディア</t>
        </is>
      </c>
      <c r="I294" s="9" t="n">
        <v>46157</v>
      </c>
      <c r="J294" s="3" t="inlineStr">
        <is>
          <t>先方確認済み</t>
        </is>
      </c>
      <c r="K294" s="8" t="b">
        <v>0</v>
      </c>
      <c r="L294" s="9" t="n"/>
    </row>
    <row r="295">
      <c r="A295" s="8" t="n">
        <v>294</v>
      </c>
      <c r="B295" s="8" t="n">
        <v>147</v>
      </c>
      <c r="C295" s="3" t="inlineStr">
        <is>
          <t>PRD-0147-1</t>
        </is>
      </c>
      <c r="D295" s="3" t="inlineStr">
        <is>
          <t>サンプル冊子 1</t>
        </is>
      </c>
      <c r="E295" s="11" t="n">
        <v>13599</v>
      </c>
      <c r="F295" s="11" t="n">
        <v>14959</v>
      </c>
      <c r="G295" s="3" t="inlineStr">
        <is>
          <t>営業部</t>
        </is>
      </c>
      <c r="H295" s="3" t="inlineStr">
        <is>
          <t>週刊PRESS</t>
        </is>
      </c>
      <c r="I295" s="9" t="n">
        <v>46160</v>
      </c>
      <c r="J295" s="3" t="inlineStr">
        <is>
          <t>要返却</t>
        </is>
      </c>
      <c r="K295" s="8" t="b">
        <v>1</v>
      </c>
      <c r="L295" s="9" t="n">
        <v>46182</v>
      </c>
    </row>
    <row r="296">
      <c r="A296" s="8" t="n">
        <v>295</v>
      </c>
      <c r="B296" s="8" t="n">
        <v>148</v>
      </c>
      <c r="C296" s="3" t="inlineStr">
        <is>
          <t>PRD-0148-1</t>
        </is>
      </c>
      <c r="D296" s="3" t="inlineStr">
        <is>
          <t>広報写真 1</t>
        </is>
      </c>
      <c r="E296" s="11" t="n">
        <v>13916</v>
      </c>
      <c r="F296" s="11" t="n">
        <v>15308</v>
      </c>
      <c r="G296" s="3" t="inlineStr">
        <is>
          <t>広告代理店A</t>
        </is>
      </c>
      <c r="H296" s="3" t="inlineStr">
        <is>
          <t>月刊メディア</t>
        </is>
      </c>
      <c r="I296" s="9" t="n">
        <v>46161</v>
      </c>
      <c r="J296" s="3" t="inlineStr">
        <is>
          <t>先方確認済み</t>
        </is>
      </c>
      <c r="K296" s="8" t="b">
        <v>0</v>
      </c>
      <c r="L296" s="9" t="n"/>
    </row>
    <row r="297">
      <c r="A297" s="8" t="n">
        <v>296</v>
      </c>
      <c r="B297" s="8" t="n">
        <v>148</v>
      </c>
      <c r="C297" s="3" t="inlineStr">
        <is>
          <t>PRD-0148-2</t>
        </is>
      </c>
      <c r="D297" s="3" t="inlineStr">
        <is>
          <t>掲載誌 2</t>
        </is>
      </c>
      <c r="E297" s="11" t="n">
        <v>14437</v>
      </c>
      <c r="F297" s="11" t="n">
        <v>15881</v>
      </c>
      <c r="G297" s="3" t="inlineStr">
        <is>
          <t>広告代理店B</t>
        </is>
      </c>
      <c r="H297" s="3" t="inlineStr">
        <is>
          <t>ニュースWave</t>
        </is>
      </c>
      <c r="I297" s="9" t="n">
        <v>46160</v>
      </c>
      <c r="J297" s="3" t="inlineStr">
        <is>
          <t>再送不可</t>
        </is>
      </c>
      <c r="K297" s="8" t="b">
        <v>1</v>
      </c>
      <c r="L297" s="9" t="n">
        <v>46184</v>
      </c>
    </row>
    <row r="298">
      <c r="A298" s="8" t="n">
        <v>297</v>
      </c>
      <c r="B298" s="8" t="n">
        <v>149</v>
      </c>
      <c r="C298" s="3" t="inlineStr">
        <is>
          <t>PRD-0149-1</t>
        </is>
      </c>
      <c r="D298" s="3" t="inlineStr">
        <is>
          <t>掲載誌 1</t>
        </is>
      </c>
      <c r="E298" s="11" t="n">
        <v>14233</v>
      </c>
      <c r="F298" s="11" t="n">
        <v>15656</v>
      </c>
      <c r="G298" s="3" t="inlineStr">
        <is>
          <t>広告代理店B</t>
        </is>
      </c>
      <c r="H298" s="3" t="inlineStr">
        <is>
          <t>ニュースWave</t>
        </is>
      </c>
      <c r="I298" s="9" t="n">
        <v>46162</v>
      </c>
      <c r="J298" s="3" t="inlineStr">
        <is>
          <t>再送不可</t>
        </is>
      </c>
      <c r="K298" s="8" t="b">
        <v>1</v>
      </c>
      <c r="L298" s="9" t="n">
        <v>46188</v>
      </c>
    </row>
    <row r="299">
      <c r="A299" s="8" t="n">
        <v>298</v>
      </c>
      <c r="B299" s="8" t="n">
        <v>149</v>
      </c>
      <c r="C299" s="3" t="inlineStr">
        <is>
          <t>PRD-0149-2</t>
        </is>
      </c>
      <c r="D299" s="3" t="inlineStr">
        <is>
          <t>校正紙 2</t>
        </is>
      </c>
      <c r="E299" s="11" t="n">
        <v>14754</v>
      </c>
      <c r="F299" s="11" t="n">
        <v>16229</v>
      </c>
      <c r="G299" s="3" t="inlineStr">
        <is>
          <t>編集部</t>
        </is>
      </c>
      <c r="H299" s="3" t="inlineStr">
        <is>
          <t>Biz Journal</t>
        </is>
      </c>
      <c r="I299" s="9" t="n">
        <v>46161</v>
      </c>
      <c r="J299" s="3" t="inlineStr">
        <is>
          <t>折れ注意</t>
        </is>
      </c>
      <c r="K299" s="8" t="b">
        <v>1</v>
      </c>
      <c r="L299" s="9" t="n">
        <v>46187</v>
      </c>
    </row>
    <row r="300">
      <c r="A300" s="8" t="n">
        <v>299</v>
      </c>
      <c r="B300" s="8" t="n">
        <v>149</v>
      </c>
      <c r="C300" s="3" t="inlineStr">
        <is>
          <t>PRD-0149-3</t>
        </is>
      </c>
      <c r="D300" s="3" t="inlineStr">
        <is>
          <t>ノベルティ 3</t>
        </is>
      </c>
      <c r="E300" s="11" t="n">
        <v>15275</v>
      </c>
      <c r="F300" s="11" t="n">
        <v>16802</v>
      </c>
      <c r="G300" s="3" t="inlineStr">
        <is>
          <t>制作部</t>
        </is>
      </c>
      <c r="H300" s="3" t="inlineStr">
        <is>
          <t>Tech Line</t>
        </is>
      </c>
      <c r="I300" s="9" t="n">
        <v>46160</v>
      </c>
      <c r="J300" s="3" t="inlineStr">
        <is>
          <t>機密資料を含む</t>
        </is>
      </c>
      <c r="K300" s="8" t="b">
        <v>1</v>
      </c>
      <c r="L300" s="9" t="n">
        <v>46186</v>
      </c>
    </row>
    <row r="301">
      <c r="A301" s="8" t="n">
        <v>300</v>
      </c>
      <c r="B301" s="8" t="n">
        <v>150</v>
      </c>
      <c r="C301" s="3" t="inlineStr">
        <is>
          <t>PRD-0150-1</t>
        </is>
      </c>
      <c r="D301" s="3" t="inlineStr">
        <is>
          <t>校正紙 1</t>
        </is>
      </c>
      <c r="E301" s="11" t="n">
        <v>14550</v>
      </c>
      <c r="F301" s="11" t="n">
        <v>16005</v>
      </c>
      <c r="G301" s="3" t="inlineStr">
        <is>
          <t>編集部</t>
        </is>
      </c>
      <c r="H301" s="3" t="inlineStr">
        <is>
          <t>Biz Journal</t>
        </is>
      </c>
      <c r="I301" s="9" t="n">
        <v>46013</v>
      </c>
      <c r="J301" s="3" t="inlineStr">
        <is>
          <t>折れ注意</t>
        </is>
      </c>
      <c r="K301" s="8" t="b">
        <v>1</v>
      </c>
      <c r="L301" s="9" t="n">
        <v>46041</v>
      </c>
    </row>
    <row r="302">
      <c r="A302" s="8" t="n">
        <v>301</v>
      </c>
      <c r="B302" s="8" t="n">
        <v>151</v>
      </c>
      <c r="C302" s="3" t="inlineStr">
        <is>
          <t>PRD-0151-1</t>
        </is>
      </c>
      <c r="D302" s="3" t="inlineStr">
        <is>
          <t>ノベルティ 1</t>
        </is>
      </c>
      <c r="E302" s="11" t="n">
        <v>14867</v>
      </c>
      <c r="F302" s="11" t="n">
        <v>16354</v>
      </c>
      <c r="G302" s="3" t="inlineStr">
        <is>
          <t>制作部</t>
        </is>
      </c>
      <c r="H302" s="3" t="inlineStr">
        <is>
          <t>Tech Line</t>
        </is>
      </c>
      <c r="I302" s="9" t="n">
        <v>46014</v>
      </c>
      <c r="J302" s="3" t="inlineStr">
        <is>
          <t>機密資料を含む</t>
        </is>
      </c>
      <c r="K302" s="8" t="b">
        <v>1</v>
      </c>
      <c r="L302" s="9" t="n">
        <v>46044</v>
      </c>
    </row>
    <row r="303">
      <c r="A303" s="8" t="n">
        <v>302</v>
      </c>
      <c r="B303" s="8" t="n">
        <v>151</v>
      </c>
      <c r="C303" s="3" t="inlineStr">
        <is>
          <t>PRD-0151-2</t>
        </is>
      </c>
      <c r="D303" s="3" t="inlineStr">
        <is>
          <t>プレスキット 2</t>
        </is>
      </c>
      <c r="E303" s="11" t="n">
        <v>15388</v>
      </c>
      <c r="F303" s="11" t="n">
        <v>16927</v>
      </c>
      <c r="G303" s="3" t="inlineStr">
        <is>
          <t>宣伝課</t>
        </is>
      </c>
      <c r="H303" s="3" t="inlineStr">
        <is>
          <t>生活スタイル</t>
        </is>
      </c>
      <c r="I303" s="9" t="n">
        <v>46013</v>
      </c>
      <c r="J303" s="3" t="inlineStr">
        <is>
          <t>予備あり</t>
        </is>
      </c>
      <c r="K303" s="8" t="b">
        <v>0</v>
      </c>
      <c r="L303" s="9" t="n"/>
    </row>
    <row r="304">
      <c r="A304" s="8" t="n">
        <v>303</v>
      </c>
      <c r="B304" s="8" t="n">
        <v>152</v>
      </c>
      <c r="C304" s="3" t="inlineStr">
        <is>
          <t>PRD-0152-1</t>
        </is>
      </c>
      <c r="D304" s="3" t="inlineStr">
        <is>
          <t>プレスキット 1</t>
        </is>
      </c>
      <c r="E304" s="11" t="n">
        <v>15184</v>
      </c>
      <c r="F304" s="11" t="n">
        <v>16702</v>
      </c>
      <c r="G304" s="3" t="inlineStr">
        <is>
          <t>宣伝課</t>
        </is>
      </c>
      <c r="H304" s="3" t="inlineStr">
        <is>
          <t>生活スタイル</t>
        </is>
      </c>
      <c r="I304" s="9" t="n">
        <v>46015</v>
      </c>
      <c r="J304" s="3" t="inlineStr">
        <is>
          <t>予備あり</t>
        </is>
      </c>
      <c r="K304" s="8" t="b">
        <v>0</v>
      </c>
      <c r="L304" s="9" t="n"/>
    </row>
    <row r="305">
      <c r="A305" s="8" t="n">
        <v>304</v>
      </c>
      <c r="B305" s="8" t="n">
        <v>152</v>
      </c>
      <c r="C305" s="3" t="inlineStr">
        <is>
          <t>PRD-0152-2</t>
        </is>
      </c>
      <c r="D305" s="3" t="inlineStr">
        <is>
          <t>販促POP 2</t>
        </is>
      </c>
      <c r="E305" s="11" t="n">
        <v>15705</v>
      </c>
      <c r="F305" s="11" t="n">
        <v>17276</v>
      </c>
      <c r="G305" s="3" t="inlineStr">
        <is>
          <t>営業部</t>
        </is>
      </c>
      <c r="H305" s="3" t="inlineStr">
        <is>
          <t>カルチャー通信</t>
        </is>
      </c>
      <c r="I305" s="9" t="n">
        <v>46014</v>
      </c>
      <c r="J305" s="3" t="inlineStr">
        <is>
          <t>急ぎ対応</t>
        </is>
      </c>
      <c r="K305" s="8" t="b">
        <v>1</v>
      </c>
      <c r="L305" s="9" t="n">
        <v>46038</v>
      </c>
    </row>
    <row r="306">
      <c r="A306" s="8" t="n">
        <v>305</v>
      </c>
      <c r="B306" s="8" t="n">
        <v>152</v>
      </c>
      <c r="C306" s="3" t="inlineStr">
        <is>
          <t>PRD-0152-3</t>
        </is>
      </c>
      <c r="D306" s="3" t="inlineStr">
        <is>
          <t>取材資料 3</t>
        </is>
      </c>
      <c r="E306" s="11" t="n">
        <v>16226</v>
      </c>
      <c r="F306" s="11" t="n">
        <v>17849</v>
      </c>
      <c r="G306" s="3" t="inlineStr">
        <is>
          <t>広告代理店A</t>
        </is>
      </c>
      <c r="H306" s="3" t="inlineStr">
        <is>
          <t>週刊PRESS</t>
        </is>
      </c>
      <c r="I306" s="9" t="n">
        <v>46013</v>
      </c>
      <c r="J306" s="3" t="inlineStr">
        <is>
          <t>要返却</t>
        </is>
      </c>
      <c r="K306" s="8" t="b">
        <v>1</v>
      </c>
      <c r="L306" s="9" t="n">
        <v>46037</v>
      </c>
    </row>
    <row r="307">
      <c r="A307" s="8" t="n">
        <v>306</v>
      </c>
      <c r="B307" s="8" t="n">
        <v>153</v>
      </c>
      <c r="C307" s="3" t="inlineStr">
        <is>
          <t>PRD-0153-1</t>
        </is>
      </c>
      <c r="D307" s="3" t="inlineStr">
        <is>
          <t>販促POP 1</t>
        </is>
      </c>
      <c r="E307" s="11" t="n">
        <v>15501</v>
      </c>
      <c r="F307" s="11" t="n">
        <v>17051</v>
      </c>
      <c r="G307" s="3" t="inlineStr">
        <is>
          <t>営業部</t>
        </is>
      </c>
      <c r="H307" s="3" t="inlineStr">
        <is>
          <t>カルチャー通信</t>
        </is>
      </c>
      <c r="I307" s="9" t="n">
        <v>46016</v>
      </c>
      <c r="J307" s="3" t="inlineStr">
        <is>
          <t>急ぎ対応</t>
        </is>
      </c>
      <c r="K307" s="8" t="b">
        <v>1</v>
      </c>
      <c r="L307" s="9" t="n">
        <v>46042</v>
      </c>
    </row>
    <row r="308">
      <c r="A308" s="8" t="n">
        <v>307</v>
      </c>
      <c r="B308" s="8" t="n">
        <v>154</v>
      </c>
      <c r="C308" s="3" t="inlineStr">
        <is>
          <t>PRD-0154-1</t>
        </is>
      </c>
      <c r="D308" s="3" t="inlineStr">
        <is>
          <t>取材資料 1</t>
        </is>
      </c>
      <c r="E308" s="11" t="n">
        <v>15818</v>
      </c>
      <c r="F308" s="11" t="n">
        <v>17400</v>
      </c>
      <c r="G308" s="3" t="inlineStr">
        <is>
          <t>広告代理店A</t>
        </is>
      </c>
      <c r="H308" s="3" t="inlineStr">
        <is>
          <t>週刊PRESS</t>
        </is>
      </c>
      <c r="I308" s="9" t="n">
        <v>46017</v>
      </c>
      <c r="J308" s="3" t="inlineStr">
        <is>
          <t>要返却</t>
        </is>
      </c>
      <c r="K308" s="8" t="b">
        <v>1</v>
      </c>
      <c r="L308" s="9" t="n">
        <v>46045</v>
      </c>
    </row>
    <row r="309">
      <c r="A309" s="8" t="n">
        <v>308</v>
      </c>
      <c r="B309" s="8" t="n">
        <v>154</v>
      </c>
      <c r="C309" s="3" t="inlineStr">
        <is>
          <t>PRD-0154-2</t>
        </is>
      </c>
      <c r="D309" s="3" t="inlineStr">
        <is>
          <t>サンプル冊子 2</t>
        </is>
      </c>
      <c r="E309" s="11" t="n">
        <v>16339</v>
      </c>
      <c r="F309" s="11" t="n">
        <v>17973</v>
      </c>
      <c r="G309" s="3" t="inlineStr">
        <is>
          <t>広告代理店B</t>
        </is>
      </c>
      <c r="H309" s="3" t="inlineStr">
        <is>
          <t>月刊メディア</t>
        </is>
      </c>
      <c r="I309" s="9" t="n">
        <v>46016</v>
      </c>
      <c r="J309" s="3" t="inlineStr">
        <is>
          <t>先方確認済み</t>
        </is>
      </c>
      <c r="K309" s="8" t="b">
        <v>1</v>
      </c>
      <c r="L309" s="9" t="n">
        <v>46044</v>
      </c>
    </row>
    <row r="310">
      <c r="A310" s="8" t="n">
        <v>309</v>
      </c>
      <c r="B310" s="8" t="n">
        <v>155</v>
      </c>
      <c r="C310" s="3" t="inlineStr">
        <is>
          <t>PRD-0155-1</t>
        </is>
      </c>
      <c r="D310" s="3" t="inlineStr">
        <is>
          <t>サンプル冊子 1</t>
        </is>
      </c>
      <c r="E310" s="11" t="n">
        <v>16135</v>
      </c>
      <c r="F310" s="11" t="n">
        <v>17748</v>
      </c>
      <c r="G310" s="3" t="inlineStr">
        <is>
          <t>広告代理店B</t>
        </is>
      </c>
      <c r="H310" s="3" t="inlineStr">
        <is>
          <t>月刊メディア</t>
        </is>
      </c>
      <c r="I310" s="9" t="n">
        <v>46018</v>
      </c>
      <c r="J310" s="3" t="inlineStr">
        <is>
          <t>先方確認済み</t>
        </is>
      </c>
      <c r="K310" s="8" t="b">
        <v>1</v>
      </c>
      <c r="L310" s="9" t="n">
        <v>46048</v>
      </c>
    </row>
    <row r="311">
      <c r="A311" s="8" t="n">
        <v>310</v>
      </c>
      <c r="B311" s="8" t="n">
        <v>155</v>
      </c>
      <c r="C311" s="3" t="inlineStr">
        <is>
          <t>PRD-0155-2</t>
        </is>
      </c>
      <c r="D311" s="3" t="inlineStr">
        <is>
          <t>広報写真 2</t>
        </is>
      </c>
      <c r="E311" s="11" t="n">
        <v>16656</v>
      </c>
      <c r="F311" s="11" t="n">
        <v>18322</v>
      </c>
      <c r="G311" s="3" t="inlineStr">
        <is>
          <t>編集部</t>
        </is>
      </c>
      <c r="H311" s="3" t="inlineStr">
        <is>
          <t>ニュースWave</t>
        </is>
      </c>
      <c r="I311" s="9" t="n">
        <v>46017</v>
      </c>
      <c r="J311" s="3" t="inlineStr">
        <is>
          <t>再送不可</t>
        </is>
      </c>
      <c r="K311" s="8" t="b">
        <v>0</v>
      </c>
      <c r="L311" s="9" t="n"/>
    </row>
    <row r="312">
      <c r="A312" s="8" t="n">
        <v>311</v>
      </c>
      <c r="B312" s="8" t="n">
        <v>155</v>
      </c>
      <c r="C312" s="3" t="inlineStr">
        <is>
          <t>PRD-0155-3</t>
        </is>
      </c>
      <c r="D312" s="3" t="inlineStr">
        <is>
          <t>掲載誌 3</t>
        </is>
      </c>
      <c r="E312" s="11" t="n">
        <v>17177</v>
      </c>
      <c r="F312" s="11" t="n">
        <v>18895</v>
      </c>
      <c r="G312" s="3" t="inlineStr">
        <is>
          <t>制作部</t>
        </is>
      </c>
      <c r="H312" s="3" t="inlineStr">
        <is>
          <t>Biz Journal</t>
        </is>
      </c>
      <c r="I312" s="9" t="n">
        <v>46016</v>
      </c>
      <c r="J312" s="3" t="inlineStr">
        <is>
          <t>折れ注意</t>
        </is>
      </c>
      <c r="K312" s="8" t="b">
        <v>1</v>
      </c>
      <c r="L312" s="9" t="n">
        <v>46046</v>
      </c>
    </row>
    <row r="313">
      <c r="A313" s="8" t="n">
        <v>312</v>
      </c>
      <c r="B313" s="8" t="n">
        <v>156</v>
      </c>
      <c r="C313" s="3" t="inlineStr">
        <is>
          <t>PRD-0156-1</t>
        </is>
      </c>
      <c r="D313" s="3" t="inlineStr">
        <is>
          <t>広報写真 1</t>
        </is>
      </c>
      <c r="E313" s="11" t="n">
        <v>16452</v>
      </c>
      <c r="F313" s="11" t="n">
        <v>18097</v>
      </c>
      <c r="G313" s="3" t="inlineStr">
        <is>
          <t>編集部</t>
        </is>
      </c>
      <c r="H313" s="3" t="inlineStr">
        <is>
          <t>ニュースWave</t>
        </is>
      </c>
      <c r="I313" s="9" t="n">
        <v>46019</v>
      </c>
      <c r="J313" s="3" t="inlineStr">
        <is>
          <t>再送不可</t>
        </is>
      </c>
      <c r="K313" s="8" t="b">
        <v>0</v>
      </c>
      <c r="L313" s="9" t="n"/>
    </row>
    <row r="314">
      <c r="A314" s="8" t="n">
        <v>313</v>
      </c>
      <c r="B314" s="8" t="n">
        <v>157</v>
      </c>
      <c r="C314" s="3" t="inlineStr">
        <is>
          <t>PRD-0157-1</t>
        </is>
      </c>
      <c r="D314" s="3" t="inlineStr">
        <is>
          <t>掲載誌 1</t>
        </is>
      </c>
      <c r="E314" s="11" t="n">
        <v>16769</v>
      </c>
      <c r="F314" s="11" t="n">
        <v>18446</v>
      </c>
      <c r="G314" s="3" t="inlineStr">
        <is>
          <t>制作部</t>
        </is>
      </c>
      <c r="H314" s="3" t="inlineStr">
        <is>
          <t>Biz Journal</t>
        </is>
      </c>
      <c r="I314" s="9" t="n">
        <v>46020</v>
      </c>
      <c r="J314" s="3" t="inlineStr">
        <is>
          <t>折れ注意</t>
        </is>
      </c>
      <c r="K314" s="8" t="b">
        <v>1</v>
      </c>
      <c r="L314" s="9" t="n">
        <v>46054</v>
      </c>
    </row>
    <row r="315">
      <c r="A315" s="8" t="n">
        <v>314</v>
      </c>
      <c r="B315" s="8" t="n">
        <v>157</v>
      </c>
      <c r="C315" s="3" t="inlineStr">
        <is>
          <t>PRD-0157-2</t>
        </is>
      </c>
      <c r="D315" s="3" t="inlineStr">
        <is>
          <t>校正紙 2</t>
        </is>
      </c>
      <c r="E315" s="11" t="n">
        <v>17290</v>
      </c>
      <c r="F315" s="11" t="n">
        <v>19019</v>
      </c>
      <c r="G315" s="3" t="inlineStr">
        <is>
          <t>宣伝課</t>
        </is>
      </c>
      <c r="H315" s="3" t="inlineStr">
        <is>
          <t>Tech Line</t>
        </is>
      </c>
      <c r="I315" s="9" t="n">
        <v>46019</v>
      </c>
      <c r="J315" s="3" t="inlineStr">
        <is>
          <t>機密資料を含む</t>
        </is>
      </c>
      <c r="K315" s="8" t="b">
        <v>1</v>
      </c>
      <c r="L315" s="9" t="n">
        <v>46053</v>
      </c>
    </row>
    <row r="316">
      <c r="A316" s="8" t="n">
        <v>315</v>
      </c>
      <c r="B316" s="8" t="n">
        <v>158</v>
      </c>
      <c r="C316" s="3" t="inlineStr">
        <is>
          <t>PRD-0158-1</t>
        </is>
      </c>
      <c r="D316" s="3" t="inlineStr">
        <is>
          <t>校正紙 1</t>
        </is>
      </c>
      <c r="E316" s="11" t="n">
        <v>17086</v>
      </c>
      <c r="F316" s="11" t="n">
        <v>18795</v>
      </c>
      <c r="G316" s="3" t="inlineStr">
        <is>
          <t>宣伝課</t>
        </is>
      </c>
      <c r="H316" s="3" t="inlineStr">
        <is>
          <t>Tech Line</t>
        </is>
      </c>
      <c r="I316" s="9" t="n">
        <v>46021</v>
      </c>
      <c r="J316" s="3" t="inlineStr">
        <is>
          <t>機密資料を含む</t>
        </is>
      </c>
      <c r="K316" s="8" t="b">
        <v>1</v>
      </c>
      <c r="L316" s="9" t="n">
        <v>46057</v>
      </c>
    </row>
    <row r="317">
      <c r="A317" s="8" t="n">
        <v>316</v>
      </c>
      <c r="B317" s="8" t="n">
        <v>158</v>
      </c>
      <c r="C317" s="3" t="inlineStr">
        <is>
          <t>PRD-0158-2</t>
        </is>
      </c>
      <c r="D317" s="3" t="inlineStr">
        <is>
          <t>ノベルティ 2</t>
        </is>
      </c>
      <c r="E317" s="11" t="n">
        <v>17607</v>
      </c>
      <c r="F317" s="11" t="n">
        <v>19368</v>
      </c>
      <c r="G317" s="3" t="inlineStr">
        <is>
          <t>営業部</t>
        </is>
      </c>
      <c r="H317" s="3" t="inlineStr">
        <is>
          <t>生活スタイル</t>
        </is>
      </c>
      <c r="I317" s="9" t="n">
        <v>46020</v>
      </c>
      <c r="J317" s="3" t="inlineStr">
        <is>
          <t>予備あり</t>
        </is>
      </c>
      <c r="K317" s="8" t="b">
        <v>1</v>
      </c>
      <c r="L317" s="9" t="n">
        <v>46056</v>
      </c>
    </row>
    <row r="318">
      <c r="A318" s="8" t="n">
        <v>317</v>
      </c>
      <c r="B318" s="8" t="n">
        <v>158</v>
      </c>
      <c r="C318" s="3" t="inlineStr">
        <is>
          <t>PRD-0158-3</t>
        </is>
      </c>
      <c r="D318" s="3" t="inlineStr">
        <is>
          <t>プレスキット 3</t>
        </is>
      </c>
      <c r="E318" s="11" t="n">
        <v>18128</v>
      </c>
      <c r="F318" s="11" t="n">
        <v>19941</v>
      </c>
      <c r="G318" s="3" t="inlineStr">
        <is>
          <t>広告代理店A</t>
        </is>
      </c>
      <c r="H318" s="3" t="inlineStr">
        <is>
          <t>カルチャー通信</t>
        </is>
      </c>
      <c r="I318" s="9" t="n">
        <v>46019</v>
      </c>
      <c r="J318" s="3" t="inlineStr">
        <is>
          <t>急ぎ対応</t>
        </is>
      </c>
      <c r="K318" s="8" t="b">
        <v>0</v>
      </c>
      <c r="L318" s="9" t="n"/>
    </row>
    <row r="319">
      <c r="A319" s="8" t="n">
        <v>318</v>
      </c>
      <c r="B319" s="8" t="n">
        <v>159</v>
      </c>
      <c r="C319" s="3" t="inlineStr">
        <is>
          <t>PRD-0159-1</t>
        </is>
      </c>
      <c r="D319" s="3" t="inlineStr">
        <is>
          <t>ノベルティ 1</t>
        </is>
      </c>
      <c r="E319" s="11" t="n">
        <v>17403</v>
      </c>
      <c r="F319" s="11" t="n">
        <v>19143</v>
      </c>
      <c r="G319" s="3" t="inlineStr">
        <is>
          <t>営業部</t>
        </is>
      </c>
      <c r="H319" s="3" t="inlineStr">
        <is>
          <t>生活スタイル</t>
        </is>
      </c>
      <c r="I319" s="9" t="n">
        <v>46022</v>
      </c>
      <c r="J319" s="3" t="inlineStr">
        <is>
          <t>予備あり</t>
        </is>
      </c>
      <c r="K319" s="8" t="b">
        <v>1</v>
      </c>
      <c r="L319" s="9" t="n">
        <v>46060</v>
      </c>
    </row>
    <row r="320">
      <c r="A320" s="8" t="n">
        <v>319</v>
      </c>
      <c r="B320" s="8" t="n">
        <v>160</v>
      </c>
      <c r="C320" s="3" t="inlineStr">
        <is>
          <t>PRD-0160-1</t>
        </is>
      </c>
      <c r="D320" s="3" t="inlineStr">
        <is>
          <t>プレスキット 1</t>
        </is>
      </c>
      <c r="E320" s="11" t="n">
        <v>17720</v>
      </c>
      <c r="F320" s="11" t="n">
        <v>19492</v>
      </c>
      <c r="G320" s="3" t="inlineStr">
        <is>
          <t>広告代理店A</t>
        </is>
      </c>
      <c r="H320" s="3" t="inlineStr">
        <is>
          <t>カルチャー通信</t>
        </is>
      </c>
      <c r="I320" s="9" t="n">
        <v>46023</v>
      </c>
      <c r="J320" s="3" t="inlineStr">
        <is>
          <t>急ぎ対応</t>
        </is>
      </c>
      <c r="K320" s="8" t="b">
        <v>0</v>
      </c>
      <c r="L320" s="9" t="n"/>
    </row>
    <row r="321">
      <c r="A321" s="8" t="n">
        <v>320</v>
      </c>
      <c r="B321" s="8" t="n">
        <v>160</v>
      </c>
      <c r="C321" s="3" t="inlineStr">
        <is>
          <t>PRD-0160-2</t>
        </is>
      </c>
      <c r="D321" s="3" t="inlineStr">
        <is>
          <t>販促POP 2</t>
        </is>
      </c>
      <c r="E321" s="11" t="n">
        <v>18241</v>
      </c>
      <c r="F321" s="11" t="n">
        <v>20065</v>
      </c>
      <c r="G321" s="3" t="inlineStr">
        <is>
          <t>広告代理店B</t>
        </is>
      </c>
      <c r="H321" s="3" t="inlineStr">
        <is>
          <t>週刊PRESS</t>
        </is>
      </c>
      <c r="I321" s="9" t="n">
        <v>46022</v>
      </c>
      <c r="J321" s="3" t="inlineStr">
        <is>
          <t>要返却</t>
        </is>
      </c>
      <c r="K321" s="8" t="b">
        <v>1</v>
      </c>
      <c r="L321" s="9" t="n">
        <v>46054</v>
      </c>
    </row>
    <row r="322">
      <c r="A322" s="8" t="n">
        <v>321</v>
      </c>
      <c r="B322" s="8" t="n">
        <v>161</v>
      </c>
      <c r="C322" s="3" t="inlineStr">
        <is>
          <t>PRD-0161-1</t>
        </is>
      </c>
      <c r="D322" s="3" t="inlineStr">
        <is>
          <t>販促POP 1</t>
        </is>
      </c>
      <c r="E322" s="11" t="n">
        <v>18037</v>
      </c>
      <c r="F322" s="11" t="n">
        <v>19841</v>
      </c>
      <c r="G322" s="3" t="inlineStr">
        <is>
          <t>広告代理店B</t>
        </is>
      </c>
      <c r="H322" s="3" t="inlineStr">
        <is>
          <t>週刊PRESS</t>
        </is>
      </c>
      <c r="I322" s="9" t="n">
        <v>46024</v>
      </c>
      <c r="J322" s="3" t="inlineStr">
        <is>
          <t>要返却</t>
        </is>
      </c>
      <c r="K322" s="8" t="b">
        <v>1</v>
      </c>
      <c r="L322" s="9" t="n">
        <v>46058</v>
      </c>
    </row>
    <row r="323">
      <c r="A323" s="8" t="n">
        <v>322</v>
      </c>
      <c r="B323" s="8" t="n">
        <v>161</v>
      </c>
      <c r="C323" s="3" t="inlineStr">
        <is>
          <t>PRD-0161-2</t>
        </is>
      </c>
      <c r="D323" s="3" t="inlineStr">
        <is>
          <t>取材資料 2</t>
        </is>
      </c>
      <c r="E323" s="11" t="n">
        <v>18558</v>
      </c>
      <c r="F323" s="11" t="n">
        <v>20414</v>
      </c>
      <c r="G323" s="3" t="inlineStr">
        <is>
          <t>編集部</t>
        </is>
      </c>
      <c r="H323" s="3" t="inlineStr">
        <is>
          <t>月刊メディア</t>
        </is>
      </c>
      <c r="I323" s="9" t="n">
        <v>46023</v>
      </c>
      <c r="J323" s="3" t="inlineStr">
        <is>
          <t>先方確認済み</t>
        </is>
      </c>
      <c r="K323" s="8" t="b">
        <v>1</v>
      </c>
      <c r="L323" s="9" t="n">
        <v>46057</v>
      </c>
    </row>
    <row r="324">
      <c r="A324" s="8" t="n">
        <v>323</v>
      </c>
      <c r="B324" s="8" t="n">
        <v>161</v>
      </c>
      <c r="C324" s="3" t="inlineStr">
        <is>
          <t>PRD-0161-3</t>
        </is>
      </c>
      <c r="D324" s="3" t="inlineStr">
        <is>
          <t>サンプル冊子 3</t>
        </is>
      </c>
      <c r="E324" s="11" t="n">
        <v>19079</v>
      </c>
      <c r="F324" s="11" t="n">
        <v>20987</v>
      </c>
      <c r="G324" s="3" t="inlineStr">
        <is>
          <t>制作部</t>
        </is>
      </c>
      <c r="H324" s="3" t="inlineStr">
        <is>
          <t>ニュースWave</t>
        </is>
      </c>
      <c r="I324" s="9" t="n">
        <v>46022</v>
      </c>
      <c r="J324" s="3" t="inlineStr">
        <is>
          <t>再送不可</t>
        </is>
      </c>
      <c r="K324" s="8" t="b">
        <v>1</v>
      </c>
      <c r="L324" s="9" t="n">
        <v>46056</v>
      </c>
    </row>
    <row r="325">
      <c r="A325" s="8" t="n">
        <v>324</v>
      </c>
      <c r="B325" s="8" t="n">
        <v>162</v>
      </c>
      <c r="C325" s="3" t="inlineStr">
        <is>
          <t>PRD-0162-1</t>
        </is>
      </c>
      <c r="D325" s="3" t="inlineStr">
        <is>
          <t>取材資料 1</t>
        </is>
      </c>
      <c r="E325" s="11" t="n">
        <v>18354</v>
      </c>
      <c r="F325" s="11" t="n">
        <v>20189</v>
      </c>
      <c r="G325" s="3" t="inlineStr">
        <is>
          <t>編集部</t>
        </is>
      </c>
      <c r="H325" s="3" t="inlineStr">
        <is>
          <t>月刊メディア</t>
        </is>
      </c>
      <c r="I325" s="9" t="n">
        <v>46025</v>
      </c>
      <c r="J325" s="3" t="inlineStr">
        <is>
          <t>先方確認済み</t>
        </is>
      </c>
      <c r="K325" s="8" t="b">
        <v>1</v>
      </c>
      <c r="L325" s="9" t="n">
        <v>46061</v>
      </c>
    </row>
    <row r="326">
      <c r="A326" s="8" t="n">
        <v>325</v>
      </c>
      <c r="B326" s="8" t="n">
        <v>163</v>
      </c>
      <c r="C326" s="3" t="inlineStr">
        <is>
          <t>PRD-0163-1</t>
        </is>
      </c>
      <c r="D326" s="3" t="inlineStr">
        <is>
          <t>サンプル冊子 1</t>
        </is>
      </c>
      <c r="E326" s="11" t="n">
        <v>18671</v>
      </c>
      <c r="F326" s="11" t="n">
        <v>20538</v>
      </c>
      <c r="G326" s="3" t="inlineStr">
        <is>
          <t>制作部</t>
        </is>
      </c>
      <c r="H326" s="3" t="inlineStr">
        <is>
          <t>ニュースWave</t>
        </is>
      </c>
      <c r="I326" s="9" t="n">
        <v>46026</v>
      </c>
      <c r="J326" s="3" t="inlineStr">
        <is>
          <t>再送不可</t>
        </is>
      </c>
      <c r="K326" s="8" t="b">
        <v>1</v>
      </c>
      <c r="L326" s="9" t="n">
        <v>46064</v>
      </c>
    </row>
    <row r="327">
      <c r="A327" s="8" t="n">
        <v>326</v>
      </c>
      <c r="B327" s="8" t="n">
        <v>163</v>
      </c>
      <c r="C327" s="3" t="inlineStr">
        <is>
          <t>PRD-0163-2</t>
        </is>
      </c>
      <c r="D327" s="3" t="inlineStr">
        <is>
          <t>広報写真 2</t>
        </is>
      </c>
      <c r="E327" s="11" t="n">
        <v>19192</v>
      </c>
      <c r="F327" s="11" t="n">
        <v>21111</v>
      </c>
      <c r="G327" s="3" t="inlineStr">
        <is>
          <t>宣伝課</t>
        </is>
      </c>
      <c r="H327" s="3" t="inlineStr">
        <is>
          <t>Biz Journal</t>
        </is>
      </c>
      <c r="I327" s="9" t="n">
        <v>46025</v>
      </c>
      <c r="J327" s="3" t="inlineStr">
        <is>
          <t>折れ注意</t>
        </is>
      </c>
      <c r="K327" s="8" t="b">
        <v>0</v>
      </c>
      <c r="L327" s="9" t="n"/>
    </row>
    <row r="328">
      <c r="A328" s="8" t="n">
        <v>327</v>
      </c>
      <c r="B328" s="8" t="n">
        <v>164</v>
      </c>
      <c r="C328" s="3" t="inlineStr">
        <is>
          <t>PRD-0164-1</t>
        </is>
      </c>
      <c r="D328" s="3" t="inlineStr">
        <is>
          <t>広報写真 1</t>
        </is>
      </c>
      <c r="E328" s="11" t="n">
        <v>18988</v>
      </c>
      <c r="F328" s="11" t="n">
        <v>20887</v>
      </c>
      <c r="G328" s="3" t="inlineStr">
        <is>
          <t>宣伝課</t>
        </is>
      </c>
      <c r="H328" s="3" t="inlineStr">
        <is>
          <t>Biz Journal</t>
        </is>
      </c>
      <c r="I328" s="9" t="n">
        <v>46027</v>
      </c>
      <c r="J328" s="3" t="inlineStr">
        <is>
          <t>折れ注意</t>
        </is>
      </c>
      <c r="K328" s="8" t="b">
        <v>0</v>
      </c>
      <c r="L328" s="9" t="n"/>
    </row>
    <row r="329">
      <c r="A329" s="8" t="n">
        <v>328</v>
      </c>
      <c r="B329" s="8" t="n">
        <v>164</v>
      </c>
      <c r="C329" s="3" t="inlineStr">
        <is>
          <t>PRD-0164-2</t>
        </is>
      </c>
      <c r="D329" s="3" t="inlineStr">
        <is>
          <t>掲載誌 2</t>
        </is>
      </c>
      <c r="E329" s="11" t="n">
        <v>19509</v>
      </c>
      <c r="F329" s="11" t="n">
        <v>21460</v>
      </c>
      <c r="G329" s="3" t="inlineStr">
        <is>
          <t>営業部</t>
        </is>
      </c>
      <c r="H329" s="3" t="inlineStr">
        <is>
          <t>Tech Line</t>
        </is>
      </c>
      <c r="I329" s="9" t="n">
        <v>46026</v>
      </c>
      <c r="J329" s="3" t="inlineStr">
        <is>
          <t>機密資料を含む</t>
        </is>
      </c>
      <c r="K329" s="8" t="b">
        <v>1</v>
      </c>
      <c r="L329" s="9" t="n">
        <v>46066</v>
      </c>
    </row>
    <row r="330">
      <c r="A330" s="8" t="n">
        <v>329</v>
      </c>
      <c r="B330" s="8" t="n">
        <v>164</v>
      </c>
      <c r="C330" s="3" t="inlineStr">
        <is>
          <t>PRD-0164-3</t>
        </is>
      </c>
      <c r="D330" s="3" t="inlineStr">
        <is>
          <t>校正紙 3</t>
        </is>
      </c>
      <c r="E330" s="11" t="n">
        <v>20030</v>
      </c>
      <c r="F330" s="11" t="n">
        <v>22033</v>
      </c>
      <c r="G330" s="3" t="inlineStr">
        <is>
          <t>広告代理店A</t>
        </is>
      </c>
      <c r="H330" s="3" t="inlineStr">
        <is>
          <t>生活スタイル</t>
        </is>
      </c>
      <c r="I330" s="9" t="n">
        <v>46025</v>
      </c>
      <c r="J330" s="3" t="inlineStr">
        <is>
          <t>予備あり</t>
        </is>
      </c>
      <c r="K330" s="8" t="b">
        <v>1</v>
      </c>
      <c r="L330" s="9" t="n">
        <v>46065</v>
      </c>
    </row>
    <row r="331">
      <c r="A331" s="8" t="n">
        <v>330</v>
      </c>
      <c r="B331" s="8" t="n">
        <v>165</v>
      </c>
      <c r="C331" s="3" t="inlineStr">
        <is>
          <t>PRD-0165-1</t>
        </is>
      </c>
      <c r="D331" s="3" t="inlineStr">
        <is>
          <t>掲載誌 1</t>
        </is>
      </c>
      <c r="E331" s="11" t="n">
        <v>19305</v>
      </c>
      <c r="F331" s="11" t="n">
        <v>21236</v>
      </c>
      <c r="G331" s="3" t="inlineStr">
        <is>
          <t>営業部</t>
        </is>
      </c>
      <c r="H331" s="3" t="inlineStr">
        <is>
          <t>Tech Line</t>
        </is>
      </c>
      <c r="I331" s="9" t="n">
        <v>46028</v>
      </c>
      <c r="J331" s="3" t="inlineStr">
        <is>
          <t>機密資料を含む</t>
        </is>
      </c>
      <c r="K331" s="8" t="b">
        <v>1</v>
      </c>
      <c r="L331" s="9" t="n">
        <v>46070</v>
      </c>
    </row>
    <row r="332">
      <c r="A332" s="8" t="n">
        <v>331</v>
      </c>
      <c r="B332" s="8" t="n">
        <v>166</v>
      </c>
      <c r="C332" s="3" t="inlineStr">
        <is>
          <t>PRD-0166-1</t>
        </is>
      </c>
      <c r="D332" s="3" t="inlineStr">
        <is>
          <t>校正紙 1</t>
        </is>
      </c>
      <c r="E332" s="11" t="n">
        <v>19622</v>
      </c>
      <c r="F332" s="11" t="n">
        <v>21584</v>
      </c>
      <c r="G332" s="3" t="inlineStr">
        <is>
          <t>広告代理店A</t>
        </is>
      </c>
      <c r="H332" s="3" t="inlineStr">
        <is>
          <t>生活スタイル</t>
        </is>
      </c>
      <c r="I332" s="9" t="n">
        <v>46029</v>
      </c>
      <c r="J332" s="3" t="inlineStr">
        <is>
          <t>予備あり</t>
        </is>
      </c>
      <c r="K332" s="8" t="b">
        <v>1</v>
      </c>
      <c r="L332" s="9" t="n">
        <v>46073</v>
      </c>
    </row>
    <row r="333">
      <c r="A333" s="8" t="n">
        <v>332</v>
      </c>
      <c r="B333" s="8" t="n">
        <v>166</v>
      </c>
      <c r="C333" s="3" t="inlineStr">
        <is>
          <t>PRD-0166-2</t>
        </is>
      </c>
      <c r="D333" s="3" t="inlineStr">
        <is>
          <t>ノベルティ 2</t>
        </is>
      </c>
      <c r="E333" s="11" t="n">
        <v>20143</v>
      </c>
      <c r="F333" s="11" t="n">
        <v>22157</v>
      </c>
      <c r="G333" s="3" t="inlineStr">
        <is>
          <t>広告代理店B</t>
        </is>
      </c>
      <c r="H333" s="3" t="inlineStr">
        <is>
          <t>カルチャー通信</t>
        </is>
      </c>
      <c r="I333" s="9" t="n">
        <v>46028</v>
      </c>
      <c r="J333" s="3" t="inlineStr">
        <is>
          <t>急ぎ対応</t>
        </is>
      </c>
      <c r="K333" s="8" t="b">
        <v>1</v>
      </c>
      <c r="L333" s="9" t="n">
        <v>46072</v>
      </c>
    </row>
    <row r="334">
      <c r="A334" s="8" t="n">
        <v>333</v>
      </c>
      <c r="B334" s="8" t="n">
        <v>167</v>
      </c>
      <c r="C334" s="3" t="inlineStr">
        <is>
          <t>PRD-0167-1</t>
        </is>
      </c>
      <c r="D334" s="3" t="inlineStr">
        <is>
          <t>ノベルティ 1</t>
        </is>
      </c>
      <c r="E334" s="11" t="n">
        <v>19939</v>
      </c>
      <c r="F334" s="11" t="n">
        <v>21933</v>
      </c>
      <c r="G334" s="3" t="inlineStr">
        <is>
          <t>広告代理店B</t>
        </is>
      </c>
      <c r="H334" s="3" t="inlineStr">
        <is>
          <t>カルチャー通信</t>
        </is>
      </c>
      <c r="I334" s="9" t="n">
        <v>46030</v>
      </c>
      <c r="J334" s="3" t="inlineStr">
        <is>
          <t>急ぎ対応</t>
        </is>
      </c>
      <c r="K334" s="8" t="b">
        <v>1</v>
      </c>
      <c r="L334" s="9" t="n">
        <v>46076</v>
      </c>
    </row>
    <row r="335">
      <c r="A335" s="8" t="n">
        <v>334</v>
      </c>
      <c r="B335" s="8" t="n">
        <v>167</v>
      </c>
      <c r="C335" s="3" t="inlineStr">
        <is>
          <t>PRD-0167-2</t>
        </is>
      </c>
      <c r="D335" s="3" t="inlineStr">
        <is>
          <t>プレスキット 2</t>
        </is>
      </c>
      <c r="E335" s="11" t="n">
        <v>20460</v>
      </c>
      <c r="F335" s="11" t="n">
        <v>22506</v>
      </c>
      <c r="G335" s="3" t="inlineStr">
        <is>
          <t>編集部</t>
        </is>
      </c>
      <c r="H335" s="3" t="inlineStr">
        <is>
          <t>週刊PRESS</t>
        </is>
      </c>
      <c r="I335" s="9" t="n">
        <v>46029</v>
      </c>
      <c r="J335" s="3" t="inlineStr">
        <is>
          <t>要返却</t>
        </is>
      </c>
      <c r="K335" s="8" t="b">
        <v>0</v>
      </c>
      <c r="L335" s="9" t="n"/>
    </row>
    <row r="336">
      <c r="A336" s="8" t="n">
        <v>335</v>
      </c>
      <c r="B336" s="8" t="n">
        <v>167</v>
      </c>
      <c r="C336" s="3" t="inlineStr">
        <is>
          <t>PRD-0167-3</t>
        </is>
      </c>
      <c r="D336" s="3" t="inlineStr">
        <is>
          <t>販促POP 3</t>
        </is>
      </c>
      <c r="E336" s="11" t="n">
        <v>20981</v>
      </c>
      <c r="F336" s="11" t="n">
        <v>23079</v>
      </c>
      <c r="G336" s="3" t="inlineStr">
        <is>
          <t>制作部</t>
        </is>
      </c>
      <c r="H336" s="3" t="inlineStr">
        <is>
          <t>月刊メディア</t>
        </is>
      </c>
      <c r="I336" s="9" t="n">
        <v>46028</v>
      </c>
      <c r="J336" s="3" t="inlineStr">
        <is>
          <t>先方確認済み</t>
        </is>
      </c>
      <c r="K336" s="8" t="b">
        <v>1</v>
      </c>
      <c r="L336" s="9" t="n">
        <v>46074</v>
      </c>
    </row>
    <row r="337">
      <c r="A337" s="8" t="n">
        <v>336</v>
      </c>
      <c r="B337" s="8" t="n">
        <v>168</v>
      </c>
      <c r="C337" s="3" t="inlineStr">
        <is>
          <t>PRD-0168-1</t>
        </is>
      </c>
      <c r="D337" s="3" t="inlineStr">
        <is>
          <t>プレスキット 1</t>
        </is>
      </c>
      <c r="E337" s="11" t="n">
        <v>20256</v>
      </c>
      <c r="F337" s="11" t="n">
        <v>22282</v>
      </c>
      <c r="G337" s="3" t="inlineStr">
        <is>
          <t>編集部</t>
        </is>
      </c>
      <c r="H337" s="3" t="inlineStr">
        <is>
          <t>週刊PRESS</t>
        </is>
      </c>
      <c r="I337" s="9" t="n">
        <v>46031</v>
      </c>
      <c r="J337" s="3" t="inlineStr">
        <is>
          <t>要返却</t>
        </is>
      </c>
      <c r="K337" s="8" t="b">
        <v>0</v>
      </c>
      <c r="L337" s="9" t="n"/>
    </row>
    <row r="338">
      <c r="A338" s="8" t="n">
        <v>337</v>
      </c>
      <c r="B338" s="8" t="n">
        <v>169</v>
      </c>
      <c r="C338" s="3" t="inlineStr">
        <is>
          <t>PRD-0169-1</t>
        </is>
      </c>
      <c r="D338" s="3" t="inlineStr">
        <is>
          <t>販促POP 1</t>
        </is>
      </c>
      <c r="E338" s="11" t="n">
        <v>20573</v>
      </c>
      <c r="F338" s="11" t="n">
        <v>22630</v>
      </c>
      <c r="G338" s="3" t="inlineStr">
        <is>
          <t>制作部</t>
        </is>
      </c>
      <c r="H338" s="3" t="inlineStr">
        <is>
          <t>月刊メディア</t>
        </is>
      </c>
      <c r="I338" s="9" t="n">
        <v>46032</v>
      </c>
      <c r="J338" s="3" t="inlineStr">
        <is>
          <t>先方確認済み</t>
        </is>
      </c>
      <c r="K338" s="8" t="b">
        <v>1</v>
      </c>
      <c r="L338" s="9" t="n">
        <v>46074</v>
      </c>
    </row>
    <row r="339">
      <c r="A339" s="8" t="n">
        <v>338</v>
      </c>
      <c r="B339" s="8" t="n">
        <v>169</v>
      </c>
      <c r="C339" s="3" t="inlineStr">
        <is>
          <t>PRD-0169-2</t>
        </is>
      </c>
      <c r="D339" s="3" t="inlineStr">
        <is>
          <t>取材資料 2</t>
        </is>
      </c>
      <c r="E339" s="11" t="n">
        <v>3094</v>
      </c>
      <c r="F339" s="11" t="n">
        <v>3403</v>
      </c>
      <c r="G339" s="3" t="inlineStr">
        <is>
          <t>宣伝課</t>
        </is>
      </c>
      <c r="H339" s="3" t="inlineStr">
        <is>
          <t>ニュースWave</t>
        </is>
      </c>
      <c r="I339" s="9" t="n">
        <v>46031</v>
      </c>
      <c r="J339" s="3" t="inlineStr">
        <is>
          <t>再送不可</t>
        </is>
      </c>
      <c r="K339" s="8" t="b">
        <v>1</v>
      </c>
      <c r="L339" s="9" t="n">
        <v>46073</v>
      </c>
    </row>
    <row r="340">
      <c r="A340" s="8" t="n">
        <v>339</v>
      </c>
      <c r="B340" s="8" t="n">
        <v>170</v>
      </c>
      <c r="C340" s="3" t="inlineStr">
        <is>
          <t>PRD-0170-1</t>
        </is>
      </c>
      <c r="D340" s="3" t="inlineStr">
        <is>
          <t>取材資料 1</t>
        </is>
      </c>
      <c r="E340" s="11" t="n">
        <v>20890</v>
      </c>
      <c r="F340" s="11" t="n">
        <v>22979</v>
      </c>
      <c r="G340" s="3" t="inlineStr">
        <is>
          <t>宣伝課</t>
        </is>
      </c>
      <c r="H340" s="3" t="inlineStr">
        <is>
          <t>ニュースWave</t>
        </is>
      </c>
      <c r="I340" s="9" t="n">
        <v>46033</v>
      </c>
      <c r="J340" s="3" t="inlineStr">
        <is>
          <t>再送不可</t>
        </is>
      </c>
      <c r="K340" s="8" t="b">
        <v>1</v>
      </c>
      <c r="L340" s="9" t="n">
        <v>46077</v>
      </c>
    </row>
    <row r="341">
      <c r="A341" s="8" t="n">
        <v>340</v>
      </c>
      <c r="B341" s="8" t="n">
        <v>170</v>
      </c>
      <c r="C341" s="3" t="inlineStr">
        <is>
          <t>PRD-0170-2</t>
        </is>
      </c>
      <c r="D341" s="3" t="inlineStr">
        <is>
          <t>サンプル冊子 2</t>
        </is>
      </c>
      <c r="E341" s="11" t="n">
        <v>3411</v>
      </c>
      <c r="F341" s="11" t="n">
        <v>3752</v>
      </c>
      <c r="G341" s="3" t="inlineStr">
        <is>
          <t>営業部</t>
        </is>
      </c>
      <c r="H341" s="3" t="inlineStr">
        <is>
          <t>Biz Journal</t>
        </is>
      </c>
      <c r="I341" s="9" t="n">
        <v>46032</v>
      </c>
      <c r="J341" s="3" t="inlineStr">
        <is>
          <t>折れ注意</t>
        </is>
      </c>
      <c r="K341" s="8" t="b">
        <v>1</v>
      </c>
      <c r="L341" s="9" t="n">
        <v>46076</v>
      </c>
    </row>
    <row r="342">
      <c r="A342" s="8" t="n">
        <v>341</v>
      </c>
      <c r="B342" s="8" t="n">
        <v>170</v>
      </c>
      <c r="C342" s="3" t="inlineStr">
        <is>
          <t>PRD-0170-3</t>
        </is>
      </c>
      <c r="D342" s="3" t="inlineStr">
        <is>
          <t>広報写真 3</t>
        </is>
      </c>
      <c r="E342" s="11" t="n">
        <v>3932</v>
      </c>
      <c r="F342" s="11" t="n">
        <v>4325</v>
      </c>
      <c r="G342" s="3" t="inlineStr">
        <is>
          <t>広告代理店A</t>
        </is>
      </c>
      <c r="H342" s="3" t="inlineStr">
        <is>
          <t>Tech Line</t>
        </is>
      </c>
      <c r="I342" s="9" t="n">
        <v>46031</v>
      </c>
      <c r="J342" s="3" t="inlineStr">
        <is>
          <t>機密資料を含む</t>
        </is>
      </c>
      <c r="K342" s="8" t="b">
        <v>0</v>
      </c>
      <c r="L342" s="9" t="n"/>
    </row>
    <row r="343">
      <c r="A343" s="8" t="n">
        <v>342</v>
      </c>
      <c r="B343" s="8" t="n">
        <v>171</v>
      </c>
      <c r="C343" s="3" t="inlineStr">
        <is>
          <t>PRD-0171-1</t>
        </is>
      </c>
      <c r="D343" s="3" t="inlineStr">
        <is>
          <t>サンプル冊子 1</t>
        </is>
      </c>
      <c r="E343" s="11" t="n">
        <v>3207</v>
      </c>
      <c r="F343" s="11" t="n">
        <v>3528</v>
      </c>
      <c r="G343" s="3" t="inlineStr">
        <is>
          <t>営業部</t>
        </is>
      </c>
      <c r="H343" s="3" t="inlineStr">
        <is>
          <t>Biz Journal</t>
        </is>
      </c>
      <c r="I343" s="9" t="n">
        <v>46034</v>
      </c>
      <c r="J343" s="3" t="inlineStr">
        <is>
          <t>折れ注意</t>
        </is>
      </c>
      <c r="K343" s="8" t="b">
        <v>1</v>
      </c>
      <c r="L343" s="9" t="n">
        <v>46080</v>
      </c>
    </row>
    <row r="344">
      <c r="A344" s="8" t="n">
        <v>343</v>
      </c>
      <c r="B344" s="8" t="n">
        <v>172</v>
      </c>
      <c r="C344" s="3" t="inlineStr">
        <is>
          <t>PRD-0172-1</t>
        </is>
      </c>
      <c r="D344" s="3" t="inlineStr">
        <is>
          <t>広報写真 1</t>
        </is>
      </c>
      <c r="E344" s="11" t="n">
        <v>3524</v>
      </c>
      <c r="F344" s="11" t="n">
        <v>3876</v>
      </c>
      <c r="G344" s="3" t="inlineStr">
        <is>
          <t>広告代理店A</t>
        </is>
      </c>
      <c r="H344" s="3" t="inlineStr">
        <is>
          <t>Tech Line</t>
        </is>
      </c>
      <c r="I344" s="9" t="n">
        <v>46035</v>
      </c>
      <c r="J344" s="3" t="inlineStr">
        <is>
          <t>機密資料を含む</t>
        </is>
      </c>
      <c r="K344" s="8" t="b">
        <v>0</v>
      </c>
      <c r="L344" s="9" t="n"/>
    </row>
    <row r="345">
      <c r="A345" s="8" t="n">
        <v>344</v>
      </c>
      <c r="B345" s="8" t="n">
        <v>172</v>
      </c>
      <c r="C345" s="3" t="inlineStr">
        <is>
          <t>PRD-0172-2</t>
        </is>
      </c>
      <c r="D345" s="3" t="inlineStr">
        <is>
          <t>掲載誌 2</t>
        </is>
      </c>
      <c r="E345" s="11" t="n">
        <v>4045</v>
      </c>
      <c r="F345" s="11" t="n">
        <v>4450</v>
      </c>
      <c r="G345" s="3" t="inlineStr">
        <is>
          <t>広告代理店B</t>
        </is>
      </c>
      <c r="H345" s="3" t="inlineStr">
        <is>
          <t>生活スタイル</t>
        </is>
      </c>
      <c r="I345" s="9" t="n">
        <v>46034</v>
      </c>
      <c r="J345" s="3" t="inlineStr">
        <is>
          <t>予備あり</t>
        </is>
      </c>
      <c r="K345" s="8" t="b">
        <v>1</v>
      </c>
      <c r="L345" s="9" t="n">
        <v>46082</v>
      </c>
    </row>
    <row r="346">
      <c r="A346" s="8" t="n">
        <v>345</v>
      </c>
      <c r="B346" s="8" t="n">
        <v>173</v>
      </c>
      <c r="C346" s="3" t="inlineStr">
        <is>
          <t>PRD-0173-1</t>
        </is>
      </c>
      <c r="D346" s="3" t="inlineStr">
        <is>
          <t>掲載誌 1</t>
        </is>
      </c>
      <c r="E346" s="11" t="n">
        <v>3841</v>
      </c>
      <c r="F346" s="11" t="n">
        <v>4225</v>
      </c>
      <c r="G346" s="3" t="inlineStr">
        <is>
          <t>広告代理店B</t>
        </is>
      </c>
      <c r="H346" s="3" t="inlineStr">
        <is>
          <t>生活スタイル</t>
        </is>
      </c>
      <c r="I346" s="9" t="n">
        <v>46036</v>
      </c>
      <c r="J346" s="3" t="inlineStr">
        <is>
          <t>予備あり</t>
        </is>
      </c>
      <c r="K346" s="8" t="b">
        <v>1</v>
      </c>
      <c r="L346" s="9" t="n">
        <v>46086</v>
      </c>
    </row>
    <row r="347">
      <c r="A347" s="8" t="n">
        <v>346</v>
      </c>
      <c r="B347" s="8" t="n">
        <v>173</v>
      </c>
      <c r="C347" s="3" t="inlineStr">
        <is>
          <t>PRD-0173-2</t>
        </is>
      </c>
      <c r="D347" s="3" t="inlineStr">
        <is>
          <t>校正紙 2</t>
        </is>
      </c>
      <c r="E347" s="11" t="n">
        <v>4362</v>
      </c>
      <c r="F347" s="11" t="n">
        <v>4798</v>
      </c>
      <c r="G347" s="3" t="inlineStr">
        <is>
          <t>編集部</t>
        </is>
      </c>
      <c r="H347" s="3" t="inlineStr">
        <is>
          <t>カルチャー通信</t>
        </is>
      </c>
      <c r="I347" s="9" t="n">
        <v>46035</v>
      </c>
      <c r="J347" s="3" t="inlineStr">
        <is>
          <t>急ぎ対応</t>
        </is>
      </c>
      <c r="K347" s="8" t="b">
        <v>1</v>
      </c>
      <c r="L347" s="9" t="n">
        <v>46085</v>
      </c>
    </row>
    <row r="348">
      <c r="A348" s="8" t="n">
        <v>347</v>
      </c>
      <c r="B348" s="8" t="n">
        <v>173</v>
      </c>
      <c r="C348" s="3" t="inlineStr">
        <is>
          <t>PRD-0173-3</t>
        </is>
      </c>
      <c r="D348" s="3" t="inlineStr">
        <is>
          <t>ノベルティ 3</t>
        </is>
      </c>
      <c r="E348" s="11" t="n">
        <v>4883</v>
      </c>
      <c r="F348" s="11" t="n">
        <v>5371</v>
      </c>
      <c r="G348" s="3" t="inlineStr">
        <is>
          <t>制作部</t>
        </is>
      </c>
      <c r="H348" s="3" t="inlineStr">
        <is>
          <t>週刊PRESS</t>
        </is>
      </c>
      <c r="I348" s="9" t="n">
        <v>46034</v>
      </c>
      <c r="J348" s="3" t="inlineStr">
        <is>
          <t>要返却</t>
        </is>
      </c>
      <c r="K348" s="8" t="b">
        <v>1</v>
      </c>
      <c r="L348" s="9" t="n">
        <v>46084</v>
      </c>
    </row>
    <row r="349">
      <c r="A349" s="8" t="n">
        <v>348</v>
      </c>
      <c r="B349" s="8" t="n">
        <v>174</v>
      </c>
      <c r="C349" s="3" t="inlineStr">
        <is>
          <t>PRD-0174-1</t>
        </is>
      </c>
      <c r="D349" s="3" t="inlineStr">
        <is>
          <t>校正紙 1</t>
        </is>
      </c>
      <c r="E349" s="11" t="n">
        <v>4158</v>
      </c>
      <c r="F349" s="11" t="n">
        <v>4574</v>
      </c>
      <c r="G349" s="3" t="inlineStr">
        <is>
          <t>編集部</t>
        </is>
      </c>
      <c r="H349" s="3" t="inlineStr">
        <is>
          <t>カルチャー通信</t>
        </is>
      </c>
      <c r="I349" s="9" t="n">
        <v>46037</v>
      </c>
      <c r="J349" s="3" t="inlineStr">
        <is>
          <t>急ぎ対応</t>
        </is>
      </c>
      <c r="K349" s="8" t="b">
        <v>1</v>
      </c>
      <c r="L349" s="9" t="n">
        <v>46089</v>
      </c>
    </row>
    <row r="350">
      <c r="A350" s="8" t="n">
        <v>349</v>
      </c>
      <c r="B350" s="8" t="n">
        <v>175</v>
      </c>
      <c r="C350" s="3" t="inlineStr">
        <is>
          <t>PRD-0175-1</t>
        </is>
      </c>
      <c r="D350" s="3" t="inlineStr">
        <is>
          <t>ノベルティ 1</t>
        </is>
      </c>
      <c r="E350" s="11" t="n">
        <v>4475</v>
      </c>
      <c r="F350" s="11" t="n">
        <v>4922</v>
      </c>
      <c r="G350" s="3" t="inlineStr">
        <is>
          <t>制作部</t>
        </is>
      </c>
      <c r="H350" s="3" t="inlineStr">
        <is>
          <t>週刊PRESS</t>
        </is>
      </c>
      <c r="I350" s="9" t="n">
        <v>46038</v>
      </c>
      <c r="J350" s="3" t="inlineStr">
        <is>
          <t>要返却</t>
        </is>
      </c>
      <c r="K350" s="8" t="b">
        <v>1</v>
      </c>
      <c r="L350" s="9" t="n">
        <v>46092</v>
      </c>
    </row>
    <row r="351">
      <c r="A351" s="8" t="n">
        <v>350</v>
      </c>
      <c r="B351" s="8" t="n">
        <v>175</v>
      </c>
      <c r="C351" s="3" t="inlineStr">
        <is>
          <t>PRD-0175-2</t>
        </is>
      </c>
      <c r="D351" s="3" t="inlineStr">
        <is>
          <t>プレスキット 2</t>
        </is>
      </c>
      <c r="E351" s="11" t="n">
        <v>4996</v>
      </c>
      <c r="F351" s="11" t="n">
        <v>5496</v>
      </c>
      <c r="G351" s="3" t="inlineStr">
        <is>
          <t>宣伝課</t>
        </is>
      </c>
      <c r="H351" s="3" t="inlineStr">
        <is>
          <t>月刊メディア</t>
        </is>
      </c>
      <c r="I351" s="9" t="n">
        <v>46037</v>
      </c>
      <c r="J351" s="3" t="inlineStr">
        <is>
          <t>先方確認済み</t>
        </is>
      </c>
      <c r="K351" s="8" t="b">
        <v>0</v>
      </c>
      <c r="L351" s="9" t="n"/>
    </row>
    <row r="352">
      <c r="A352" s="8" t="n">
        <v>351</v>
      </c>
      <c r="B352" s="8" t="n">
        <v>176</v>
      </c>
      <c r="C352" s="3" t="inlineStr">
        <is>
          <t>PRD-0176-1</t>
        </is>
      </c>
      <c r="D352" s="3" t="inlineStr">
        <is>
          <t>プレスキット 1</t>
        </is>
      </c>
      <c r="E352" s="11" t="n">
        <v>4792</v>
      </c>
      <c r="F352" s="11" t="n">
        <v>5271</v>
      </c>
      <c r="G352" s="3" t="inlineStr">
        <is>
          <t>宣伝課</t>
        </is>
      </c>
      <c r="H352" s="3" t="inlineStr">
        <is>
          <t>月刊メディア</t>
        </is>
      </c>
      <c r="I352" s="9" t="n">
        <v>46039</v>
      </c>
      <c r="J352" s="3" t="inlineStr">
        <is>
          <t>先方確認済み</t>
        </is>
      </c>
      <c r="K352" s="8" t="b">
        <v>0</v>
      </c>
      <c r="L352" s="9" t="n"/>
    </row>
    <row r="353">
      <c r="A353" s="8" t="n">
        <v>352</v>
      </c>
      <c r="B353" s="8" t="n">
        <v>176</v>
      </c>
      <c r="C353" s="3" t="inlineStr">
        <is>
          <t>PRD-0176-2</t>
        </is>
      </c>
      <c r="D353" s="3" t="inlineStr">
        <is>
          <t>販促POP 2</t>
        </is>
      </c>
      <c r="E353" s="11" t="n">
        <v>5313</v>
      </c>
      <c r="F353" s="11" t="n">
        <v>5844</v>
      </c>
      <c r="G353" s="3" t="inlineStr">
        <is>
          <t>営業部</t>
        </is>
      </c>
      <c r="H353" s="3" t="inlineStr">
        <is>
          <t>ニュースWave</t>
        </is>
      </c>
      <c r="I353" s="9" t="n">
        <v>46038</v>
      </c>
      <c r="J353" s="3" t="inlineStr">
        <is>
          <t>再送不可</t>
        </is>
      </c>
      <c r="K353" s="8" t="b">
        <v>1</v>
      </c>
      <c r="L353" s="9" t="n">
        <v>46086</v>
      </c>
    </row>
    <row r="354">
      <c r="A354" s="8" t="n">
        <v>353</v>
      </c>
      <c r="B354" s="8" t="n">
        <v>176</v>
      </c>
      <c r="C354" s="3" t="inlineStr">
        <is>
          <t>PRD-0176-3</t>
        </is>
      </c>
      <c r="D354" s="3" t="inlineStr">
        <is>
          <t>取材資料 3</t>
        </is>
      </c>
      <c r="E354" s="11" t="n">
        <v>5834</v>
      </c>
      <c r="F354" s="11" t="n">
        <v>6417</v>
      </c>
      <c r="G354" s="3" t="inlineStr">
        <is>
          <t>広告代理店A</t>
        </is>
      </c>
      <c r="H354" s="3" t="inlineStr">
        <is>
          <t>Biz Journal</t>
        </is>
      </c>
      <c r="I354" s="9" t="n">
        <v>46037</v>
      </c>
      <c r="J354" s="3" t="inlineStr">
        <is>
          <t>折れ注意</t>
        </is>
      </c>
      <c r="K354" s="8" t="b">
        <v>1</v>
      </c>
      <c r="L354" s="9" t="n">
        <v>46085</v>
      </c>
    </row>
    <row r="355">
      <c r="A355" s="8" t="n">
        <v>354</v>
      </c>
      <c r="B355" s="8" t="n">
        <v>177</v>
      </c>
      <c r="C355" s="3" t="inlineStr">
        <is>
          <t>PRD-0177-1</t>
        </is>
      </c>
      <c r="D355" s="3" t="inlineStr">
        <is>
          <t>販促POP 1</t>
        </is>
      </c>
      <c r="E355" s="11" t="n">
        <v>5109</v>
      </c>
      <c r="F355" s="11" t="n">
        <v>5620</v>
      </c>
      <c r="G355" s="3" t="inlineStr">
        <is>
          <t>営業部</t>
        </is>
      </c>
      <c r="H355" s="3" t="inlineStr">
        <is>
          <t>ニュースWave</t>
        </is>
      </c>
      <c r="I355" s="9" t="n">
        <v>46040</v>
      </c>
      <c r="J355" s="3" t="inlineStr">
        <is>
          <t>再送不可</t>
        </is>
      </c>
      <c r="K355" s="8" t="b">
        <v>1</v>
      </c>
      <c r="L355" s="9" t="n">
        <v>46090</v>
      </c>
    </row>
    <row r="356">
      <c r="A356" s="8" t="n">
        <v>355</v>
      </c>
      <c r="B356" s="8" t="n">
        <v>178</v>
      </c>
      <c r="C356" s="3" t="inlineStr">
        <is>
          <t>PRD-0178-1</t>
        </is>
      </c>
      <c r="D356" s="3" t="inlineStr">
        <is>
          <t>取材資料 1</t>
        </is>
      </c>
      <c r="E356" s="11" t="n">
        <v>5426</v>
      </c>
      <c r="F356" s="11" t="n">
        <v>5969</v>
      </c>
      <c r="G356" s="3" t="inlineStr">
        <is>
          <t>広告代理店A</t>
        </is>
      </c>
      <c r="H356" s="3" t="inlineStr">
        <is>
          <t>Biz Journal</t>
        </is>
      </c>
      <c r="I356" s="9" t="n">
        <v>46041</v>
      </c>
      <c r="J356" s="3" t="inlineStr">
        <is>
          <t>折れ注意</t>
        </is>
      </c>
      <c r="K356" s="8" t="b">
        <v>1</v>
      </c>
      <c r="L356" s="9" t="n">
        <v>46093</v>
      </c>
    </row>
    <row r="357">
      <c r="A357" s="8" t="n">
        <v>356</v>
      </c>
      <c r="B357" s="8" t="n">
        <v>178</v>
      </c>
      <c r="C357" s="3" t="inlineStr">
        <is>
          <t>PRD-0178-2</t>
        </is>
      </c>
      <c r="D357" s="3" t="inlineStr">
        <is>
          <t>サンプル冊子 2</t>
        </is>
      </c>
      <c r="E357" s="11" t="n">
        <v>5947</v>
      </c>
      <c r="F357" s="11" t="n">
        <v>6542</v>
      </c>
      <c r="G357" s="3" t="inlineStr">
        <is>
          <t>広告代理店B</t>
        </is>
      </c>
      <c r="H357" s="3" t="inlineStr">
        <is>
          <t>Tech Line</t>
        </is>
      </c>
      <c r="I357" s="9" t="n">
        <v>46040</v>
      </c>
      <c r="J357" s="3" t="inlineStr">
        <is>
          <t>機密資料を含む</t>
        </is>
      </c>
      <c r="K357" s="8" t="b">
        <v>1</v>
      </c>
      <c r="L357" s="9" t="n">
        <v>46092</v>
      </c>
    </row>
    <row r="358">
      <c r="A358" s="8" t="n">
        <v>357</v>
      </c>
      <c r="B358" s="8" t="n">
        <v>179</v>
      </c>
      <c r="C358" s="3" t="inlineStr">
        <is>
          <t>PRD-0179-1</t>
        </is>
      </c>
      <c r="D358" s="3" t="inlineStr">
        <is>
          <t>サンプル冊子 1</t>
        </is>
      </c>
      <c r="E358" s="11" t="n">
        <v>5743</v>
      </c>
      <c r="F358" s="11" t="n">
        <v>6317</v>
      </c>
      <c r="G358" s="3" t="inlineStr">
        <is>
          <t>広告代理店B</t>
        </is>
      </c>
      <c r="H358" s="3" t="inlineStr">
        <is>
          <t>Tech Line</t>
        </is>
      </c>
      <c r="I358" s="9" t="n">
        <v>46042</v>
      </c>
      <c r="J358" s="3" t="inlineStr">
        <is>
          <t>機密資料を含む</t>
        </is>
      </c>
      <c r="K358" s="8" t="b">
        <v>1</v>
      </c>
      <c r="L358" s="9" t="n">
        <v>46096</v>
      </c>
    </row>
    <row r="359">
      <c r="A359" s="8" t="n">
        <v>358</v>
      </c>
      <c r="B359" s="8" t="n">
        <v>179</v>
      </c>
      <c r="C359" s="3" t="inlineStr">
        <is>
          <t>PRD-0179-2</t>
        </is>
      </c>
      <c r="D359" s="3" t="inlineStr">
        <is>
          <t>広報写真 2</t>
        </is>
      </c>
      <c r="E359" s="11" t="n">
        <v>6264</v>
      </c>
      <c r="F359" s="11" t="n">
        <v>6890</v>
      </c>
      <c r="G359" s="3" t="inlineStr">
        <is>
          <t>編集部</t>
        </is>
      </c>
      <c r="H359" s="3" t="inlineStr">
        <is>
          <t>生活スタイル</t>
        </is>
      </c>
      <c r="I359" s="9" t="n">
        <v>46086</v>
      </c>
      <c r="J359" s="3" t="inlineStr">
        <is>
          <t>予備あり</t>
        </is>
      </c>
      <c r="K359" s="8" t="b">
        <v>0</v>
      </c>
      <c r="L359" s="9" t="n"/>
    </row>
    <row r="360">
      <c r="A360" s="8" t="n">
        <v>359</v>
      </c>
      <c r="B360" s="8" t="n">
        <v>179</v>
      </c>
      <c r="C360" s="3" t="inlineStr">
        <is>
          <t>PRD-0179-3</t>
        </is>
      </c>
      <c r="D360" s="3" t="inlineStr">
        <is>
          <t>掲載誌 3</t>
        </is>
      </c>
      <c r="E360" s="11" t="n">
        <v>6785</v>
      </c>
      <c r="F360" s="11" t="n">
        <v>7464</v>
      </c>
      <c r="G360" s="3" t="inlineStr">
        <is>
          <t>制作部</t>
        </is>
      </c>
      <c r="H360" s="3" t="inlineStr">
        <is>
          <t>カルチャー通信</t>
        </is>
      </c>
      <c r="I360" s="9" t="n">
        <v>46085</v>
      </c>
      <c r="J360" s="3" t="inlineStr">
        <is>
          <t>急ぎ対応</t>
        </is>
      </c>
      <c r="K360" s="8" t="b">
        <v>1</v>
      </c>
      <c r="L360" s="9" t="n">
        <v>46094</v>
      </c>
    </row>
    <row r="361">
      <c r="A361" s="8" t="n">
        <v>360</v>
      </c>
      <c r="B361" s="8" t="n">
        <v>180</v>
      </c>
      <c r="C361" s="3" t="inlineStr">
        <is>
          <t>PRD-0180-1</t>
        </is>
      </c>
      <c r="D361" s="3" t="inlineStr">
        <is>
          <t>広報写真 1</t>
        </is>
      </c>
      <c r="E361" s="11" t="n">
        <v>6060</v>
      </c>
      <c r="F361" s="11" t="n">
        <v>6666</v>
      </c>
      <c r="G361" s="3" t="inlineStr">
        <is>
          <t>編集部</t>
        </is>
      </c>
      <c r="H361" s="3" t="inlineStr">
        <is>
          <t>生活スタイル</t>
        </is>
      </c>
      <c r="I361" s="9" t="n">
        <v>46088</v>
      </c>
      <c r="J361" s="3" t="inlineStr">
        <is>
          <t>予備あり</t>
        </is>
      </c>
      <c r="K361" s="8" t="b">
        <v>0</v>
      </c>
      <c r="L361" s="9" t="n"/>
    </row>
    <row r="362">
      <c r="A362" s="8" t="n">
        <v>361</v>
      </c>
      <c r="B362" s="8" t="n">
        <v>181</v>
      </c>
      <c r="C362" s="3" t="inlineStr">
        <is>
          <t>PRD-0181-1</t>
        </is>
      </c>
      <c r="D362" s="3" t="inlineStr">
        <is>
          <t>掲載誌 1</t>
        </is>
      </c>
      <c r="E362" s="11" t="n">
        <v>6377</v>
      </c>
      <c r="F362" s="11" t="n">
        <v>7015</v>
      </c>
      <c r="G362" s="3" t="inlineStr">
        <is>
          <t>制作部</t>
        </is>
      </c>
      <c r="H362" s="3" t="inlineStr">
        <is>
          <t>カルチャー通信</t>
        </is>
      </c>
      <c r="I362" s="9" t="n">
        <v>46089</v>
      </c>
      <c r="J362" s="3" t="inlineStr">
        <is>
          <t>急ぎ対応</t>
        </is>
      </c>
      <c r="K362" s="8" t="b">
        <v>1</v>
      </c>
      <c r="L362" s="9" t="n">
        <v>46102</v>
      </c>
    </row>
    <row r="363">
      <c r="A363" s="8" t="n">
        <v>362</v>
      </c>
      <c r="B363" s="8" t="n">
        <v>181</v>
      </c>
      <c r="C363" s="3" t="inlineStr">
        <is>
          <t>PRD-0181-2</t>
        </is>
      </c>
      <c r="D363" s="3" t="inlineStr">
        <is>
          <t>校正紙 2</t>
        </is>
      </c>
      <c r="E363" s="11" t="n">
        <v>6898</v>
      </c>
      <c r="F363" s="11" t="n">
        <v>7588</v>
      </c>
      <c r="G363" s="3" t="inlineStr">
        <is>
          <t>宣伝課</t>
        </is>
      </c>
      <c r="H363" s="3" t="inlineStr">
        <is>
          <t>週刊PRESS</t>
        </is>
      </c>
      <c r="I363" s="9" t="n">
        <v>46088</v>
      </c>
      <c r="J363" s="3" t="inlineStr">
        <is>
          <t>要返却</t>
        </is>
      </c>
      <c r="K363" s="8" t="b">
        <v>1</v>
      </c>
      <c r="L363" s="9" t="n">
        <v>46101</v>
      </c>
    </row>
    <row r="364">
      <c r="A364" s="8" t="n">
        <v>363</v>
      </c>
      <c r="B364" s="8" t="n">
        <v>182</v>
      </c>
      <c r="C364" s="3" t="inlineStr">
        <is>
          <t>PRD-0182-1</t>
        </is>
      </c>
      <c r="D364" s="3" t="inlineStr">
        <is>
          <t>校正紙 1</t>
        </is>
      </c>
      <c r="E364" s="11" t="n">
        <v>6694</v>
      </c>
      <c r="F364" s="11" t="n">
        <v>7363</v>
      </c>
      <c r="G364" s="3" t="inlineStr">
        <is>
          <t>宣伝課</t>
        </is>
      </c>
      <c r="H364" s="3" t="inlineStr">
        <is>
          <t>週刊PRESS</t>
        </is>
      </c>
      <c r="I364" s="9" t="n">
        <v>46090</v>
      </c>
      <c r="J364" s="3" t="inlineStr">
        <is>
          <t>要返却</t>
        </is>
      </c>
      <c r="K364" s="8" t="b">
        <v>1</v>
      </c>
      <c r="L364" s="9" t="n">
        <v>46105</v>
      </c>
    </row>
    <row r="365">
      <c r="A365" s="8" t="n">
        <v>364</v>
      </c>
      <c r="B365" s="8" t="n">
        <v>182</v>
      </c>
      <c r="C365" s="3" t="inlineStr">
        <is>
          <t>PRD-0182-2</t>
        </is>
      </c>
      <c r="D365" s="3" t="inlineStr">
        <is>
          <t>ノベルティ 2</t>
        </is>
      </c>
      <c r="E365" s="11" t="n">
        <v>7215</v>
      </c>
      <c r="F365" s="11" t="n">
        <v>7937</v>
      </c>
      <c r="G365" s="3" t="inlineStr">
        <is>
          <t>営業部</t>
        </is>
      </c>
      <c r="H365" s="3" t="inlineStr">
        <is>
          <t>月刊メディア</t>
        </is>
      </c>
      <c r="I365" s="9" t="n">
        <v>46089</v>
      </c>
      <c r="J365" s="3" t="inlineStr">
        <is>
          <t>先方確認済み</t>
        </is>
      </c>
      <c r="K365" s="8" t="b">
        <v>1</v>
      </c>
      <c r="L365" s="9" t="n">
        <v>46104</v>
      </c>
    </row>
    <row r="366">
      <c r="A366" s="8" t="n">
        <v>365</v>
      </c>
      <c r="B366" s="8" t="n">
        <v>182</v>
      </c>
      <c r="C366" s="3" t="inlineStr">
        <is>
          <t>PRD-0182-3</t>
        </is>
      </c>
      <c r="D366" s="3" t="inlineStr">
        <is>
          <t>プレスキット 3</t>
        </is>
      </c>
      <c r="E366" s="11" t="n">
        <v>7736</v>
      </c>
      <c r="F366" s="11" t="n">
        <v>8510</v>
      </c>
      <c r="G366" s="3" t="inlineStr">
        <is>
          <t>広告代理店A</t>
        </is>
      </c>
      <c r="H366" s="3" t="inlineStr">
        <is>
          <t>ニュースWave</t>
        </is>
      </c>
      <c r="I366" s="9" t="n">
        <v>46088</v>
      </c>
      <c r="J366" s="3" t="inlineStr">
        <is>
          <t>再送不可</t>
        </is>
      </c>
      <c r="K366" s="8" t="b">
        <v>0</v>
      </c>
      <c r="L366" s="9" t="n"/>
    </row>
    <row r="367">
      <c r="A367" s="8" t="n">
        <v>366</v>
      </c>
      <c r="B367" s="8" t="n">
        <v>183</v>
      </c>
      <c r="C367" s="3" t="inlineStr">
        <is>
          <t>PRD-0183-1</t>
        </is>
      </c>
      <c r="D367" s="3" t="inlineStr">
        <is>
          <t>ノベルティ 1</t>
        </is>
      </c>
      <c r="E367" s="11" t="n">
        <v>7011</v>
      </c>
      <c r="F367" s="11" t="n">
        <v>7712</v>
      </c>
      <c r="G367" s="3" t="inlineStr">
        <is>
          <t>営業部</t>
        </is>
      </c>
      <c r="H367" s="3" t="inlineStr">
        <is>
          <t>月刊メディア</t>
        </is>
      </c>
      <c r="I367" s="9" t="n">
        <v>46091</v>
      </c>
      <c r="J367" s="3" t="inlineStr">
        <is>
          <t>先方確認済み</t>
        </is>
      </c>
      <c r="K367" s="8" t="b">
        <v>1</v>
      </c>
      <c r="L367" s="9" t="n">
        <v>46108</v>
      </c>
    </row>
    <row r="368">
      <c r="A368" s="8" t="n">
        <v>367</v>
      </c>
      <c r="B368" s="8" t="n">
        <v>184</v>
      </c>
      <c r="C368" s="3" t="inlineStr">
        <is>
          <t>PRD-0184-1</t>
        </is>
      </c>
      <c r="D368" s="3" t="inlineStr">
        <is>
          <t>プレスキット 1</t>
        </is>
      </c>
      <c r="E368" s="11" t="n">
        <v>7328</v>
      </c>
      <c r="F368" s="11" t="n">
        <v>8061</v>
      </c>
      <c r="G368" s="3" t="inlineStr">
        <is>
          <t>広告代理店A</t>
        </is>
      </c>
      <c r="H368" s="3" t="inlineStr">
        <is>
          <t>ニュースWave</t>
        </is>
      </c>
      <c r="I368" s="9" t="n">
        <v>46092</v>
      </c>
      <c r="J368" s="3" t="inlineStr">
        <is>
          <t>再送不可</t>
        </is>
      </c>
      <c r="K368" s="8" t="b">
        <v>0</v>
      </c>
      <c r="L368" s="9" t="n"/>
    </row>
    <row r="369">
      <c r="A369" s="8" t="n">
        <v>368</v>
      </c>
      <c r="B369" s="8" t="n">
        <v>184</v>
      </c>
      <c r="C369" s="3" t="inlineStr">
        <is>
          <t>PRD-0184-2</t>
        </is>
      </c>
      <c r="D369" s="3" t="inlineStr">
        <is>
          <t>販促POP 2</t>
        </is>
      </c>
      <c r="E369" s="11" t="n">
        <v>7849</v>
      </c>
      <c r="F369" s="11" t="n">
        <v>8634</v>
      </c>
      <c r="G369" s="3" t="inlineStr">
        <is>
          <t>広告代理店B</t>
        </is>
      </c>
      <c r="H369" s="3" t="inlineStr">
        <is>
          <t>Biz Journal</t>
        </is>
      </c>
      <c r="I369" s="9" t="n">
        <v>46091</v>
      </c>
      <c r="J369" s="3" t="inlineStr">
        <is>
          <t>折れ注意</t>
        </is>
      </c>
      <c r="K369" s="8" t="b">
        <v>1</v>
      </c>
      <c r="L369" s="9" t="n">
        <v>46102</v>
      </c>
    </row>
    <row r="370">
      <c r="A370" s="8" t="n">
        <v>369</v>
      </c>
      <c r="B370" s="8" t="n">
        <v>185</v>
      </c>
      <c r="C370" s="3" t="inlineStr">
        <is>
          <t>PRD-0185-1</t>
        </is>
      </c>
      <c r="D370" s="3" t="inlineStr">
        <is>
          <t>販促POP 1</t>
        </is>
      </c>
      <c r="E370" s="11" t="n">
        <v>7645</v>
      </c>
      <c r="F370" s="11" t="n">
        <v>8410</v>
      </c>
      <c r="G370" s="3" t="inlineStr">
        <is>
          <t>広告代理店B</t>
        </is>
      </c>
      <c r="H370" s="3" t="inlineStr">
        <is>
          <t>Biz Journal</t>
        </is>
      </c>
      <c r="I370" s="9" t="n">
        <v>46093</v>
      </c>
      <c r="J370" s="3" t="inlineStr">
        <is>
          <t>折れ注意</t>
        </is>
      </c>
      <c r="K370" s="8" t="b">
        <v>1</v>
      </c>
      <c r="L370" s="9" t="n">
        <v>46106</v>
      </c>
    </row>
    <row r="371">
      <c r="A371" s="8" t="n">
        <v>370</v>
      </c>
      <c r="B371" s="8" t="n">
        <v>185</v>
      </c>
      <c r="C371" s="3" t="inlineStr">
        <is>
          <t>PRD-0185-2</t>
        </is>
      </c>
      <c r="D371" s="3" t="inlineStr">
        <is>
          <t>取材資料 2</t>
        </is>
      </c>
      <c r="E371" s="11" t="n">
        <v>8166</v>
      </c>
      <c r="F371" s="11" t="n">
        <v>8983</v>
      </c>
      <c r="G371" s="3" t="inlineStr">
        <is>
          <t>編集部</t>
        </is>
      </c>
      <c r="H371" s="3" t="inlineStr">
        <is>
          <t>Tech Line</t>
        </is>
      </c>
      <c r="I371" s="9" t="n">
        <v>46092</v>
      </c>
      <c r="J371" s="3" t="inlineStr">
        <is>
          <t>機密資料を含む</t>
        </is>
      </c>
      <c r="K371" s="8" t="b">
        <v>1</v>
      </c>
      <c r="L371" s="9" t="n">
        <v>46105</v>
      </c>
    </row>
    <row r="372">
      <c r="A372" s="8" t="n">
        <v>371</v>
      </c>
      <c r="B372" s="8" t="n">
        <v>185</v>
      </c>
      <c r="C372" s="3" t="inlineStr">
        <is>
          <t>PRD-0185-3</t>
        </is>
      </c>
      <c r="D372" s="3" t="inlineStr">
        <is>
          <t>サンプル冊子 3</t>
        </is>
      </c>
      <c r="E372" s="11" t="n">
        <v>8687</v>
      </c>
      <c r="F372" s="11" t="n">
        <v>9556</v>
      </c>
      <c r="G372" s="3" t="inlineStr">
        <is>
          <t>制作部</t>
        </is>
      </c>
      <c r="H372" s="3" t="inlineStr">
        <is>
          <t>生活スタイル</t>
        </is>
      </c>
      <c r="I372" s="9" t="n">
        <v>46091</v>
      </c>
      <c r="J372" s="3" t="inlineStr">
        <is>
          <t>予備あり</t>
        </is>
      </c>
      <c r="K372" s="8" t="b">
        <v>1</v>
      </c>
      <c r="L372" s="9" t="n">
        <v>46104</v>
      </c>
    </row>
    <row r="373">
      <c r="A373" s="8" t="n">
        <v>372</v>
      </c>
      <c r="B373" s="8" t="n">
        <v>186</v>
      </c>
      <c r="C373" s="3" t="inlineStr">
        <is>
          <t>PRD-0186-1</t>
        </is>
      </c>
      <c r="D373" s="3" t="inlineStr">
        <is>
          <t>取材資料 1</t>
        </is>
      </c>
      <c r="E373" s="11" t="n">
        <v>7962</v>
      </c>
      <c r="F373" s="11" t="n">
        <v>8758</v>
      </c>
      <c r="G373" s="3" t="inlineStr">
        <is>
          <t>編集部</t>
        </is>
      </c>
      <c r="H373" s="3" t="inlineStr">
        <is>
          <t>Tech Line</t>
        </is>
      </c>
      <c r="I373" s="9" t="n">
        <v>46094</v>
      </c>
      <c r="J373" s="3" t="inlineStr">
        <is>
          <t>機密資料を含む</t>
        </is>
      </c>
      <c r="K373" s="8" t="b">
        <v>1</v>
      </c>
      <c r="L373" s="9" t="n">
        <v>46109</v>
      </c>
    </row>
    <row r="374">
      <c r="A374" s="8" t="n">
        <v>373</v>
      </c>
      <c r="B374" s="8" t="n">
        <v>187</v>
      </c>
      <c r="C374" s="3" t="inlineStr">
        <is>
          <t>PRD-0187-1</t>
        </is>
      </c>
      <c r="D374" s="3" t="inlineStr">
        <is>
          <t>サンプル冊子 1</t>
        </is>
      </c>
      <c r="E374" s="11" t="n">
        <v>8279</v>
      </c>
      <c r="F374" s="11" t="n">
        <v>9107</v>
      </c>
      <c r="G374" s="3" t="inlineStr">
        <is>
          <t>制作部</t>
        </is>
      </c>
      <c r="H374" s="3" t="inlineStr">
        <is>
          <t>生活スタイル</t>
        </is>
      </c>
      <c r="I374" s="9" t="n">
        <v>46095</v>
      </c>
      <c r="J374" s="3" t="inlineStr">
        <is>
          <t>予備あり</t>
        </is>
      </c>
      <c r="K374" s="8" t="b">
        <v>1</v>
      </c>
      <c r="L374" s="9" t="n">
        <v>46112</v>
      </c>
    </row>
    <row r="375">
      <c r="A375" s="8" t="n">
        <v>374</v>
      </c>
      <c r="B375" s="8" t="n">
        <v>187</v>
      </c>
      <c r="C375" s="3" t="inlineStr">
        <is>
          <t>PRD-0187-2</t>
        </is>
      </c>
      <c r="D375" s="3" t="inlineStr">
        <is>
          <t>広報写真 2</t>
        </is>
      </c>
      <c r="E375" s="11" t="n">
        <v>8800</v>
      </c>
      <c r="F375" s="11" t="n">
        <v>9680</v>
      </c>
      <c r="G375" s="3" t="inlineStr">
        <is>
          <t>宣伝課</t>
        </is>
      </c>
      <c r="H375" s="3" t="inlineStr">
        <is>
          <t>カルチャー通信</t>
        </is>
      </c>
      <c r="I375" s="9" t="n">
        <v>46094</v>
      </c>
      <c r="J375" s="3" t="inlineStr">
        <is>
          <t>急ぎ対応</t>
        </is>
      </c>
      <c r="K375" s="8" t="b">
        <v>0</v>
      </c>
      <c r="L375" s="9" t="n"/>
    </row>
    <row r="376">
      <c r="A376" s="8" t="n">
        <v>375</v>
      </c>
      <c r="B376" s="8" t="n">
        <v>188</v>
      </c>
      <c r="C376" s="3" t="inlineStr">
        <is>
          <t>PRD-0188-1</t>
        </is>
      </c>
      <c r="D376" s="3" t="inlineStr">
        <is>
          <t>広報写真 1</t>
        </is>
      </c>
      <c r="E376" s="11" t="n">
        <v>8596</v>
      </c>
      <c r="F376" s="11" t="n">
        <v>9456</v>
      </c>
      <c r="G376" s="3" t="inlineStr">
        <is>
          <t>宣伝課</t>
        </is>
      </c>
      <c r="H376" s="3" t="inlineStr">
        <is>
          <t>カルチャー通信</t>
        </is>
      </c>
      <c r="I376" s="9" t="n">
        <v>46096</v>
      </c>
      <c r="J376" s="3" t="inlineStr">
        <is>
          <t>急ぎ対応</t>
        </is>
      </c>
      <c r="K376" s="8" t="b">
        <v>0</v>
      </c>
      <c r="L376" s="9" t="n"/>
    </row>
    <row r="377">
      <c r="A377" s="8" t="n">
        <v>376</v>
      </c>
      <c r="B377" s="8" t="n">
        <v>188</v>
      </c>
      <c r="C377" s="3" t="inlineStr">
        <is>
          <t>PRD-0188-2</t>
        </is>
      </c>
      <c r="D377" s="3" t="inlineStr">
        <is>
          <t>掲載誌 2</t>
        </is>
      </c>
      <c r="E377" s="11" t="n">
        <v>9117</v>
      </c>
      <c r="F377" s="11" t="n">
        <v>10029</v>
      </c>
      <c r="G377" s="3" t="inlineStr">
        <is>
          <t>営業部</t>
        </is>
      </c>
      <c r="H377" s="3" t="inlineStr">
        <is>
          <t>週刊PRESS</t>
        </is>
      </c>
      <c r="I377" s="9" t="n">
        <v>46095</v>
      </c>
      <c r="J377" s="3" t="inlineStr">
        <is>
          <t>要返却</t>
        </is>
      </c>
      <c r="K377" s="8" t="b">
        <v>1</v>
      </c>
      <c r="L377" s="9" t="n">
        <v>46114</v>
      </c>
    </row>
    <row r="378">
      <c r="A378" s="8" t="n">
        <v>377</v>
      </c>
      <c r="B378" s="8" t="n">
        <v>188</v>
      </c>
      <c r="C378" s="3" t="inlineStr">
        <is>
          <t>PRD-0188-3</t>
        </is>
      </c>
      <c r="D378" s="3" t="inlineStr">
        <is>
          <t>校正紙 3</t>
        </is>
      </c>
      <c r="E378" s="11" t="n">
        <v>9638</v>
      </c>
      <c r="F378" s="11" t="n">
        <v>10602</v>
      </c>
      <c r="G378" s="3" t="inlineStr">
        <is>
          <t>広告代理店A</t>
        </is>
      </c>
      <c r="H378" s="3" t="inlineStr">
        <is>
          <t>月刊メディア</t>
        </is>
      </c>
      <c r="I378" s="9" t="n">
        <v>46094</v>
      </c>
      <c r="J378" s="3" t="inlineStr">
        <is>
          <t>先方確認済み</t>
        </is>
      </c>
      <c r="K378" s="8" t="b">
        <v>1</v>
      </c>
      <c r="L378" s="9" t="n">
        <v>46113</v>
      </c>
    </row>
    <row r="379">
      <c r="A379" s="8" t="n">
        <v>378</v>
      </c>
      <c r="B379" s="8" t="n">
        <v>189</v>
      </c>
      <c r="C379" s="3" t="inlineStr">
        <is>
          <t>PRD-0189-1</t>
        </is>
      </c>
      <c r="D379" s="3" t="inlineStr">
        <is>
          <t>掲載誌 1</t>
        </is>
      </c>
      <c r="E379" s="11" t="n">
        <v>8913</v>
      </c>
      <c r="F379" s="11" t="n">
        <v>9804</v>
      </c>
      <c r="G379" s="3" t="inlineStr">
        <is>
          <t>営業部</t>
        </is>
      </c>
      <c r="H379" s="3" t="inlineStr">
        <is>
          <t>週刊PRESS</t>
        </is>
      </c>
      <c r="I379" s="9" t="n">
        <v>46097</v>
      </c>
      <c r="J379" s="3" t="inlineStr">
        <is>
          <t>要返却</t>
        </is>
      </c>
      <c r="K379" s="8" t="b">
        <v>1</v>
      </c>
      <c r="L379" s="9" t="n">
        <v>46118</v>
      </c>
    </row>
    <row r="380">
      <c r="A380" s="8" t="n">
        <v>379</v>
      </c>
      <c r="B380" s="8" t="n">
        <v>190</v>
      </c>
      <c r="C380" s="3" t="inlineStr">
        <is>
          <t>PRD-0190-1</t>
        </is>
      </c>
      <c r="D380" s="3" t="inlineStr">
        <is>
          <t>校正紙 1</t>
        </is>
      </c>
      <c r="E380" s="11" t="n">
        <v>9230</v>
      </c>
      <c r="F380" s="11" t="n">
        <v>10153</v>
      </c>
      <c r="G380" s="3" t="inlineStr">
        <is>
          <t>広告代理店A</t>
        </is>
      </c>
      <c r="H380" s="3" t="inlineStr">
        <is>
          <t>月刊メディア</t>
        </is>
      </c>
      <c r="I380" s="9" t="n">
        <v>46098</v>
      </c>
      <c r="J380" s="3" t="inlineStr">
        <is>
          <t>先方確認済み</t>
        </is>
      </c>
      <c r="K380" s="8" t="b">
        <v>1</v>
      </c>
      <c r="L380" s="9" t="n">
        <v>46121</v>
      </c>
    </row>
    <row r="381">
      <c r="A381" s="8" t="n">
        <v>380</v>
      </c>
      <c r="B381" s="8" t="n">
        <v>190</v>
      </c>
      <c r="C381" s="3" t="inlineStr">
        <is>
          <t>PRD-0190-2</t>
        </is>
      </c>
      <c r="D381" s="3" t="inlineStr">
        <is>
          <t>ノベルティ 2</t>
        </is>
      </c>
      <c r="E381" s="11" t="n">
        <v>9751</v>
      </c>
      <c r="F381" s="11" t="n">
        <v>10726</v>
      </c>
      <c r="G381" s="3" t="inlineStr">
        <is>
          <t>広告代理店B</t>
        </is>
      </c>
      <c r="H381" s="3" t="inlineStr">
        <is>
          <t>ニュースWave</t>
        </is>
      </c>
      <c r="I381" s="9" t="n">
        <v>46097</v>
      </c>
      <c r="J381" s="3" t="inlineStr">
        <is>
          <t>再送不可</t>
        </is>
      </c>
      <c r="K381" s="8" t="b">
        <v>1</v>
      </c>
      <c r="L381" s="9" t="n">
        <v>46120</v>
      </c>
    </row>
    <row r="382">
      <c r="A382" s="8" t="n">
        <v>381</v>
      </c>
      <c r="B382" s="8" t="n">
        <v>191</v>
      </c>
      <c r="C382" s="3" t="inlineStr">
        <is>
          <t>PRD-0191-1</t>
        </is>
      </c>
      <c r="D382" s="3" t="inlineStr">
        <is>
          <t>ノベルティ 1</t>
        </is>
      </c>
      <c r="E382" s="11" t="n">
        <v>9547</v>
      </c>
      <c r="F382" s="11" t="n">
        <v>10502</v>
      </c>
      <c r="G382" s="3" t="inlineStr">
        <is>
          <t>広告代理店B</t>
        </is>
      </c>
      <c r="H382" s="3" t="inlineStr">
        <is>
          <t>ニュースWave</t>
        </is>
      </c>
      <c r="I382" s="9" t="n">
        <v>46099</v>
      </c>
      <c r="J382" s="3" t="inlineStr">
        <is>
          <t>再送不可</t>
        </is>
      </c>
      <c r="K382" s="8" t="b">
        <v>1</v>
      </c>
      <c r="L382" s="9" t="n">
        <v>46124</v>
      </c>
    </row>
    <row r="383">
      <c r="A383" s="8" t="n">
        <v>382</v>
      </c>
      <c r="B383" s="8" t="n">
        <v>191</v>
      </c>
      <c r="C383" s="3" t="inlineStr">
        <is>
          <t>PRD-0191-2</t>
        </is>
      </c>
      <c r="D383" s="3" t="inlineStr">
        <is>
          <t>プレスキット 2</t>
        </is>
      </c>
      <c r="E383" s="11" t="n">
        <v>10068</v>
      </c>
      <c r="F383" s="11" t="n">
        <v>11075</v>
      </c>
      <c r="G383" s="3" t="inlineStr">
        <is>
          <t>編集部</t>
        </is>
      </c>
      <c r="H383" s="3" t="inlineStr">
        <is>
          <t>Biz Journal</t>
        </is>
      </c>
      <c r="I383" s="9" t="n">
        <v>46098</v>
      </c>
      <c r="J383" s="3" t="inlineStr">
        <is>
          <t>折れ注意</t>
        </is>
      </c>
      <c r="K383" s="8" t="b">
        <v>0</v>
      </c>
      <c r="L383" s="9" t="n"/>
    </row>
    <row r="384">
      <c r="A384" s="8" t="n">
        <v>383</v>
      </c>
      <c r="B384" s="8" t="n">
        <v>191</v>
      </c>
      <c r="C384" s="3" t="inlineStr">
        <is>
          <t>PRD-0191-3</t>
        </is>
      </c>
      <c r="D384" s="3" t="inlineStr">
        <is>
          <t>販促POP 3</t>
        </is>
      </c>
      <c r="E384" s="11" t="n">
        <v>10589</v>
      </c>
      <c r="F384" s="11" t="n">
        <v>11648</v>
      </c>
      <c r="G384" s="3" t="inlineStr">
        <is>
          <t>制作部</t>
        </is>
      </c>
      <c r="H384" s="3" t="inlineStr">
        <is>
          <t>Tech Line</t>
        </is>
      </c>
      <c r="I384" s="9" t="n">
        <v>46097</v>
      </c>
      <c r="J384" s="3" t="inlineStr">
        <is>
          <t>機密資料を含む</t>
        </is>
      </c>
      <c r="K384" s="8" t="b">
        <v>1</v>
      </c>
      <c r="L384" s="9" t="n">
        <v>46122</v>
      </c>
    </row>
    <row r="385">
      <c r="A385" s="8" t="n">
        <v>384</v>
      </c>
      <c r="B385" s="8" t="n">
        <v>192</v>
      </c>
      <c r="C385" s="3" t="inlineStr">
        <is>
          <t>PRD-0192-1</t>
        </is>
      </c>
      <c r="D385" s="3" t="inlineStr">
        <is>
          <t>プレスキット 1</t>
        </is>
      </c>
      <c r="E385" s="11" t="n">
        <v>9864</v>
      </c>
      <c r="F385" s="11" t="n">
        <v>10850</v>
      </c>
      <c r="G385" s="3" t="inlineStr">
        <is>
          <t>編集部</t>
        </is>
      </c>
      <c r="H385" s="3" t="inlineStr">
        <is>
          <t>Biz Journal</t>
        </is>
      </c>
      <c r="I385" s="9" t="n">
        <v>46100</v>
      </c>
      <c r="J385" s="3" t="inlineStr">
        <is>
          <t>折れ注意</t>
        </is>
      </c>
      <c r="K385" s="8" t="b">
        <v>0</v>
      </c>
      <c r="L385" s="9" t="n"/>
    </row>
    <row r="386">
      <c r="A386" s="8" t="n">
        <v>385</v>
      </c>
      <c r="B386" s="8" t="n">
        <v>193</v>
      </c>
      <c r="C386" s="3" t="inlineStr">
        <is>
          <t>PRD-0193-1</t>
        </is>
      </c>
      <c r="D386" s="3" t="inlineStr">
        <is>
          <t>販促POP 1</t>
        </is>
      </c>
      <c r="E386" s="11" t="n">
        <v>10181</v>
      </c>
      <c r="F386" s="11" t="n">
        <v>11199</v>
      </c>
      <c r="G386" s="3" t="inlineStr">
        <is>
          <t>制作部</t>
        </is>
      </c>
      <c r="H386" s="3" t="inlineStr">
        <is>
          <t>Tech Line</t>
        </is>
      </c>
      <c r="I386" s="9" t="n">
        <v>46101</v>
      </c>
      <c r="J386" s="3" t="inlineStr">
        <is>
          <t>機密資料を含む</t>
        </is>
      </c>
      <c r="K386" s="8" t="b">
        <v>1</v>
      </c>
      <c r="L386" s="9" t="n">
        <v>46122</v>
      </c>
    </row>
    <row r="387">
      <c r="A387" s="8" t="n">
        <v>386</v>
      </c>
      <c r="B387" s="8" t="n">
        <v>193</v>
      </c>
      <c r="C387" s="3" t="inlineStr">
        <is>
          <t>PRD-0193-2</t>
        </is>
      </c>
      <c r="D387" s="3" t="inlineStr">
        <is>
          <t>取材資料 2</t>
        </is>
      </c>
      <c r="E387" s="11" t="n">
        <v>10702</v>
      </c>
      <c r="F387" s="11" t="n">
        <v>11772</v>
      </c>
      <c r="G387" s="3" t="inlineStr">
        <is>
          <t>宣伝課</t>
        </is>
      </c>
      <c r="H387" s="3" t="inlineStr">
        <is>
          <t>生活スタイル</t>
        </is>
      </c>
      <c r="I387" s="9" t="n">
        <v>46100</v>
      </c>
      <c r="J387" s="3" t="inlineStr">
        <is>
          <t>予備あり</t>
        </is>
      </c>
      <c r="K387" s="8" t="b">
        <v>1</v>
      </c>
      <c r="L387" s="9" t="n">
        <v>46121</v>
      </c>
    </row>
    <row r="388">
      <c r="A388" s="8" t="n">
        <v>387</v>
      </c>
      <c r="B388" s="8" t="n">
        <v>194</v>
      </c>
      <c r="C388" s="3" t="inlineStr">
        <is>
          <t>PRD-0194-1</t>
        </is>
      </c>
      <c r="D388" s="3" t="inlineStr">
        <is>
          <t>取材資料 1</t>
        </is>
      </c>
      <c r="E388" s="11" t="n">
        <v>10498</v>
      </c>
      <c r="F388" s="11" t="n">
        <v>11548</v>
      </c>
      <c r="G388" s="3" t="inlineStr">
        <is>
          <t>宣伝課</t>
        </is>
      </c>
      <c r="H388" s="3" t="inlineStr">
        <is>
          <t>生活スタイル</t>
        </is>
      </c>
      <c r="I388" s="9" t="n">
        <v>46102</v>
      </c>
      <c r="J388" s="3" t="inlineStr">
        <is>
          <t>予備あり</t>
        </is>
      </c>
      <c r="K388" s="8" t="b">
        <v>1</v>
      </c>
      <c r="L388" s="9" t="n">
        <v>46125</v>
      </c>
    </row>
    <row r="389">
      <c r="A389" s="8" t="n">
        <v>388</v>
      </c>
      <c r="B389" s="8" t="n">
        <v>194</v>
      </c>
      <c r="C389" s="3" t="inlineStr">
        <is>
          <t>PRD-0194-2</t>
        </is>
      </c>
      <c r="D389" s="3" t="inlineStr">
        <is>
          <t>サンプル冊子 2</t>
        </is>
      </c>
      <c r="E389" s="11" t="n">
        <v>11019</v>
      </c>
      <c r="F389" s="11" t="n">
        <v>12121</v>
      </c>
      <c r="G389" s="3" t="inlineStr">
        <is>
          <t>営業部</t>
        </is>
      </c>
      <c r="H389" s="3" t="inlineStr">
        <is>
          <t>カルチャー通信</t>
        </is>
      </c>
      <c r="I389" s="9" t="n">
        <v>46101</v>
      </c>
      <c r="J389" s="3" t="inlineStr">
        <is>
          <t>急ぎ対応</t>
        </is>
      </c>
      <c r="K389" s="8" t="b">
        <v>1</v>
      </c>
      <c r="L389" s="9" t="n">
        <v>46124</v>
      </c>
    </row>
    <row r="390">
      <c r="A390" s="8" t="n">
        <v>389</v>
      </c>
      <c r="B390" s="8" t="n">
        <v>194</v>
      </c>
      <c r="C390" s="3" t="inlineStr">
        <is>
          <t>PRD-0194-3</t>
        </is>
      </c>
      <c r="D390" s="3" t="inlineStr">
        <is>
          <t>広報写真 3</t>
        </is>
      </c>
      <c r="E390" s="11" t="n">
        <v>11540</v>
      </c>
      <c r="F390" s="11" t="n">
        <v>12694</v>
      </c>
      <c r="G390" s="3" t="inlineStr">
        <is>
          <t>広告代理店A</t>
        </is>
      </c>
      <c r="H390" s="3" t="inlineStr">
        <is>
          <t>週刊PRESS</t>
        </is>
      </c>
      <c r="I390" s="9" t="n">
        <v>46100</v>
      </c>
      <c r="J390" s="3" t="inlineStr">
        <is>
          <t>要返却</t>
        </is>
      </c>
      <c r="K390" s="8" t="b">
        <v>0</v>
      </c>
      <c r="L390" s="9" t="n"/>
    </row>
    <row r="391">
      <c r="A391" s="8" t="n">
        <v>390</v>
      </c>
      <c r="B391" s="8" t="n">
        <v>195</v>
      </c>
      <c r="C391" s="3" t="inlineStr">
        <is>
          <t>PRD-0195-1</t>
        </is>
      </c>
      <c r="D391" s="3" t="inlineStr">
        <is>
          <t>サンプル冊子 1</t>
        </is>
      </c>
      <c r="E391" s="11" t="n">
        <v>10815</v>
      </c>
      <c r="F391" s="11" t="n">
        <v>11897</v>
      </c>
      <c r="G391" s="3" t="inlineStr">
        <is>
          <t>営業部</t>
        </is>
      </c>
      <c r="H391" s="3" t="inlineStr">
        <is>
          <t>カルチャー通信</t>
        </is>
      </c>
      <c r="I391" s="9" t="n">
        <v>46103</v>
      </c>
      <c r="J391" s="3" t="inlineStr">
        <is>
          <t>急ぎ対応</t>
        </is>
      </c>
      <c r="K391" s="8" t="b">
        <v>1</v>
      </c>
      <c r="L391" s="9" t="n">
        <v>46128</v>
      </c>
    </row>
    <row r="392">
      <c r="A392" s="8" t="n">
        <v>391</v>
      </c>
      <c r="B392" s="8" t="n">
        <v>196</v>
      </c>
      <c r="C392" s="3" t="inlineStr">
        <is>
          <t>PRD-0196-1</t>
        </is>
      </c>
      <c r="D392" s="3" t="inlineStr">
        <is>
          <t>広報写真 1</t>
        </is>
      </c>
      <c r="E392" s="11" t="n">
        <v>11132</v>
      </c>
      <c r="F392" s="11" t="n">
        <v>12245</v>
      </c>
      <c r="G392" s="3" t="inlineStr">
        <is>
          <t>広告代理店A</t>
        </is>
      </c>
      <c r="H392" s="3" t="inlineStr">
        <is>
          <t>週刊PRESS</t>
        </is>
      </c>
      <c r="I392" s="9" t="n">
        <v>46104</v>
      </c>
      <c r="J392" s="3" t="inlineStr">
        <is>
          <t>要返却</t>
        </is>
      </c>
      <c r="K392" s="8" t="b">
        <v>0</v>
      </c>
      <c r="L392" s="9" t="n"/>
    </row>
    <row r="393">
      <c r="A393" s="8" t="n">
        <v>392</v>
      </c>
      <c r="B393" s="8" t="n">
        <v>196</v>
      </c>
      <c r="C393" s="3" t="inlineStr">
        <is>
          <t>PRD-0196-2</t>
        </is>
      </c>
      <c r="D393" s="3" t="inlineStr">
        <is>
          <t>掲載誌 2</t>
        </is>
      </c>
      <c r="E393" s="11" t="n">
        <v>11653</v>
      </c>
      <c r="F393" s="11" t="n">
        <v>12818</v>
      </c>
      <c r="G393" s="3" t="inlineStr">
        <is>
          <t>広告代理店B</t>
        </is>
      </c>
      <c r="H393" s="3" t="inlineStr">
        <is>
          <t>月刊メディア</t>
        </is>
      </c>
      <c r="I393" s="9" t="n">
        <v>46103</v>
      </c>
      <c r="J393" s="3" t="inlineStr">
        <is>
          <t>先方確認済み</t>
        </is>
      </c>
      <c r="K393" s="8" t="b">
        <v>1</v>
      </c>
      <c r="L393" s="9" t="n">
        <v>46130</v>
      </c>
    </row>
    <row r="394">
      <c r="A394" s="8" t="n">
        <v>393</v>
      </c>
      <c r="B394" s="8" t="n">
        <v>197</v>
      </c>
      <c r="C394" s="3" t="inlineStr">
        <is>
          <t>PRD-0197-1</t>
        </is>
      </c>
      <c r="D394" s="3" t="inlineStr">
        <is>
          <t>掲載誌 1</t>
        </is>
      </c>
      <c r="E394" s="11" t="n">
        <v>11449</v>
      </c>
      <c r="F394" s="11" t="n">
        <v>12594</v>
      </c>
      <c r="G394" s="3" t="inlineStr">
        <is>
          <t>広告代理店B</t>
        </is>
      </c>
      <c r="H394" s="3" t="inlineStr">
        <is>
          <t>月刊メディア</t>
        </is>
      </c>
      <c r="I394" s="9" t="n">
        <v>46105</v>
      </c>
      <c r="J394" s="3" t="inlineStr">
        <is>
          <t>先方確認済み</t>
        </is>
      </c>
      <c r="K394" s="8" t="b">
        <v>1</v>
      </c>
      <c r="L394" s="9" t="n">
        <v>46134</v>
      </c>
    </row>
    <row r="395">
      <c r="A395" s="8" t="n">
        <v>394</v>
      </c>
      <c r="B395" s="8" t="n">
        <v>197</v>
      </c>
      <c r="C395" s="3" t="inlineStr">
        <is>
          <t>PRD-0197-2</t>
        </is>
      </c>
      <c r="D395" s="3" t="inlineStr">
        <is>
          <t>校正紙 2</t>
        </is>
      </c>
      <c r="E395" s="11" t="n">
        <v>11970</v>
      </c>
      <c r="F395" s="11" t="n">
        <v>13167</v>
      </c>
      <c r="G395" s="3" t="inlineStr">
        <is>
          <t>編集部</t>
        </is>
      </c>
      <c r="H395" s="3" t="inlineStr">
        <is>
          <t>ニュースWave</t>
        </is>
      </c>
      <c r="I395" s="9" t="n">
        <v>46104</v>
      </c>
      <c r="J395" s="3" t="inlineStr">
        <is>
          <t>再送不可</t>
        </is>
      </c>
      <c r="K395" s="8" t="b">
        <v>1</v>
      </c>
      <c r="L395" s="9" t="n">
        <v>46133</v>
      </c>
    </row>
    <row r="396">
      <c r="A396" s="8" t="n">
        <v>395</v>
      </c>
      <c r="B396" s="8" t="n">
        <v>197</v>
      </c>
      <c r="C396" s="3" t="inlineStr">
        <is>
          <t>PRD-0197-3</t>
        </is>
      </c>
      <c r="D396" s="3" t="inlineStr">
        <is>
          <t>ノベルティ 3</t>
        </is>
      </c>
      <c r="E396" s="11" t="n">
        <v>12491</v>
      </c>
      <c r="F396" s="11" t="n">
        <v>13740</v>
      </c>
      <c r="G396" s="3" t="inlineStr">
        <is>
          <t>制作部</t>
        </is>
      </c>
      <c r="H396" s="3" t="inlineStr">
        <is>
          <t>Biz Journal</t>
        </is>
      </c>
      <c r="I396" s="9" t="n">
        <v>46103</v>
      </c>
      <c r="J396" s="3" t="inlineStr">
        <is>
          <t>折れ注意</t>
        </is>
      </c>
      <c r="K396" s="8" t="b">
        <v>1</v>
      </c>
      <c r="L396" s="9" t="n">
        <v>46132</v>
      </c>
    </row>
    <row r="397">
      <c r="A397" s="8" t="n">
        <v>396</v>
      </c>
      <c r="B397" s="8" t="n">
        <v>198</v>
      </c>
      <c r="C397" s="3" t="inlineStr">
        <is>
          <t>PRD-0198-1</t>
        </is>
      </c>
      <c r="D397" s="3" t="inlineStr">
        <is>
          <t>校正紙 1</t>
        </is>
      </c>
      <c r="E397" s="11" t="n">
        <v>11766</v>
      </c>
      <c r="F397" s="11" t="n">
        <v>12943</v>
      </c>
      <c r="G397" s="3" t="inlineStr">
        <is>
          <t>編集部</t>
        </is>
      </c>
      <c r="H397" s="3" t="inlineStr">
        <is>
          <t>ニュースWave</t>
        </is>
      </c>
      <c r="I397" s="9" t="n">
        <v>46106</v>
      </c>
      <c r="J397" s="3" t="inlineStr">
        <is>
          <t>再送不可</t>
        </is>
      </c>
      <c r="K397" s="8" t="b">
        <v>1</v>
      </c>
      <c r="L397" s="9" t="n">
        <v>46137</v>
      </c>
    </row>
    <row r="398">
      <c r="A398" s="8" t="n">
        <v>397</v>
      </c>
      <c r="B398" s="8" t="n">
        <v>199</v>
      </c>
      <c r="C398" s="3" t="inlineStr">
        <is>
          <t>PRD-0199-1</t>
        </is>
      </c>
      <c r="D398" s="3" t="inlineStr">
        <is>
          <t>ノベルティ 1</t>
        </is>
      </c>
      <c r="E398" s="11" t="n">
        <v>12083</v>
      </c>
      <c r="F398" s="11" t="n">
        <v>13291</v>
      </c>
      <c r="G398" s="3" t="inlineStr">
        <is>
          <t>制作部</t>
        </is>
      </c>
      <c r="H398" s="3" t="inlineStr">
        <is>
          <t>Biz Journal</t>
        </is>
      </c>
      <c r="I398" s="9" t="n">
        <v>46107</v>
      </c>
      <c r="J398" s="3" t="inlineStr">
        <is>
          <t>折れ注意</t>
        </is>
      </c>
      <c r="K398" s="8" t="b">
        <v>1</v>
      </c>
      <c r="L398" s="9" t="n">
        <v>46140</v>
      </c>
    </row>
    <row r="399">
      <c r="A399" s="8" t="n">
        <v>398</v>
      </c>
      <c r="B399" s="8" t="n">
        <v>199</v>
      </c>
      <c r="C399" s="3" t="inlineStr">
        <is>
          <t>PRD-0199-2</t>
        </is>
      </c>
      <c r="D399" s="3" t="inlineStr">
        <is>
          <t>プレスキット 2</t>
        </is>
      </c>
      <c r="E399" s="11" t="n">
        <v>12604</v>
      </c>
      <c r="F399" s="11" t="n">
        <v>13864</v>
      </c>
      <c r="G399" s="3" t="inlineStr">
        <is>
          <t>宣伝課</t>
        </is>
      </c>
      <c r="H399" s="3" t="inlineStr">
        <is>
          <t>Tech Line</t>
        </is>
      </c>
      <c r="I399" s="9" t="n">
        <v>46106</v>
      </c>
      <c r="J399" s="3" t="inlineStr">
        <is>
          <t>機密資料を含む</t>
        </is>
      </c>
      <c r="K399" s="8" t="b">
        <v>0</v>
      </c>
      <c r="L399" s="9" t="n"/>
    </row>
    <row r="400">
      <c r="A400" s="8" t="n">
        <v>399</v>
      </c>
      <c r="B400" s="8" t="n">
        <v>200</v>
      </c>
      <c r="C400" s="3" t="inlineStr">
        <is>
          <t>PRD-0200-1</t>
        </is>
      </c>
      <c r="D400" s="3" t="inlineStr">
        <is>
          <t>プレスキット 1</t>
        </is>
      </c>
      <c r="E400" s="11" t="n">
        <v>12400</v>
      </c>
      <c r="F400" s="11" t="n">
        <v>13640</v>
      </c>
      <c r="G400" s="3" t="inlineStr">
        <is>
          <t>宣伝課</t>
        </is>
      </c>
      <c r="H400" s="3" t="inlineStr">
        <is>
          <t>Tech Line</t>
        </is>
      </c>
      <c r="I400" s="9" t="n">
        <v>46108</v>
      </c>
      <c r="J400" s="3" t="inlineStr">
        <is>
          <t>機密資料を含む</t>
        </is>
      </c>
      <c r="K400" s="8" t="b">
        <v>0</v>
      </c>
      <c r="L400" s="9" t="n"/>
    </row>
    <row r="401">
      <c r="A401" s="8" t="n">
        <v>400</v>
      </c>
      <c r="B401" s="8" t="n">
        <v>200</v>
      </c>
      <c r="C401" s="3" t="inlineStr">
        <is>
          <t>PRD-0200-2</t>
        </is>
      </c>
      <c r="D401" s="3" t="inlineStr">
        <is>
          <t>販促POP 2</t>
        </is>
      </c>
      <c r="E401" s="11" t="n">
        <v>12921</v>
      </c>
      <c r="F401" s="11" t="n">
        <v>14213</v>
      </c>
      <c r="G401" s="3" t="inlineStr">
        <is>
          <t>営業部</t>
        </is>
      </c>
      <c r="H401" s="3" t="inlineStr">
        <is>
          <t>生活スタイル</t>
        </is>
      </c>
      <c r="I401" s="9" t="n">
        <v>46107</v>
      </c>
      <c r="J401" s="3" t="inlineStr">
        <is>
          <t>予備あり</t>
        </is>
      </c>
      <c r="K401" s="8" t="b">
        <v>1</v>
      </c>
      <c r="L401" s="9" t="n">
        <v>46134</v>
      </c>
    </row>
    <row r="402">
      <c r="A402" s="8" t="n">
        <v>401</v>
      </c>
      <c r="B402" s="8" t="n">
        <v>200</v>
      </c>
      <c r="C402" s="3" t="inlineStr">
        <is>
          <t>PRD-0200-3</t>
        </is>
      </c>
      <c r="D402" s="3" t="inlineStr">
        <is>
          <t>取材資料 3</t>
        </is>
      </c>
      <c r="E402" s="11" t="n">
        <v>13442</v>
      </c>
      <c r="F402" s="11" t="n">
        <v>14786</v>
      </c>
      <c r="G402" s="3" t="inlineStr">
        <is>
          <t>広告代理店A</t>
        </is>
      </c>
      <c r="H402" s="3" t="inlineStr">
        <is>
          <t>カルチャー通信</t>
        </is>
      </c>
      <c r="I402" s="9" t="n">
        <v>46106</v>
      </c>
      <c r="J402" s="3" t="inlineStr">
        <is>
          <t>急ぎ対応</t>
        </is>
      </c>
      <c r="K402" s="8" t="b">
        <v>1</v>
      </c>
      <c r="L402" s="9" t="n">
        <v>46133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16" customWidth="1" min="4" max="4"/>
    <col width="12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slip_id</t>
        </is>
      </c>
      <c r="C1" s="1" t="inlineStr">
        <is>
          <t>media_name</t>
        </is>
      </c>
      <c r="D1" s="1" t="inlineStr">
        <is>
          <t>project_name</t>
        </is>
      </c>
      <c r="E1" s="1" t="inlineStr">
        <is>
          <t>release_date</t>
        </is>
      </c>
      <c r="F1" s="1" t="inlineStr">
        <is>
          <t>note</t>
        </is>
      </c>
    </row>
    <row r="2">
      <c r="A2" s="8" t="n">
        <v>1</v>
      </c>
      <c r="B2" s="8" t="n">
        <v>1</v>
      </c>
      <c r="C2" s="3" t="inlineStr">
        <is>
          <t>月刊メディア</t>
        </is>
      </c>
      <c r="D2" s="3" t="inlineStr">
        <is>
          <t>新製品PR</t>
        </is>
      </c>
      <c r="E2" s="9" t="n">
        <v>46029</v>
      </c>
      <c r="F2" s="3" t="inlineStr">
        <is>
          <t>掲載候補 1</t>
        </is>
      </c>
    </row>
    <row r="3">
      <c r="A3" s="8" t="n">
        <v>2</v>
      </c>
      <c r="B3" s="8" t="n">
        <v>2</v>
      </c>
      <c r="C3" s="3" t="inlineStr">
        <is>
          <t>ニュースWave</t>
        </is>
      </c>
      <c r="D3" s="3" t="inlineStr">
        <is>
          <t>ブランド刷新</t>
        </is>
      </c>
      <c r="E3" s="9" t="n">
        <v>46030</v>
      </c>
      <c r="F3" s="3" t="inlineStr">
        <is>
          <t>掲載候補 1</t>
        </is>
      </c>
    </row>
    <row r="4">
      <c r="A4" s="8" t="n">
        <v>3</v>
      </c>
      <c r="B4" s="8" t="n">
        <v>3</v>
      </c>
      <c r="C4" s="3" t="inlineStr">
        <is>
          <t>Biz Journal</t>
        </is>
      </c>
      <c r="D4" s="3" t="inlineStr">
        <is>
          <t>地域特集</t>
        </is>
      </c>
      <c r="E4" s="9" t="n">
        <v>46031</v>
      </c>
      <c r="F4" s="3" t="inlineStr">
        <is>
          <t>掲載候補 1</t>
        </is>
      </c>
    </row>
    <row r="5">
      <c r="A5" s="8" t="n">
        <v>4</v>
      </c>
      <c r="B5" s="8" t="n">
        <v>3</v>
      </c>
      <c r="C5" s="3" t="inlineStr">
        <is>
          <t>生活スタイル</t>
        </is>
      </c>
      <c r="D5" s="3" t="inlineStr">
        <is>
          <t>イベント連携</t>
        </is>
      </c>
      <c r="E5" s="9" t="n">
        <v>46028</v>
      </c>
      <c r="F5" s="3" t="inlineStr">
        <is>
          <t>掲載候補 2</t>
        </is>
      </c>
    </row>
    <row r="6">
      <c r="A6" s="8" t="n">
        <v>5</v>
      </c>
      <c r="B6" s="8" t="n">
        <v>4</v>
      </c>
      <c r="C6" s="3" t="inlineStr">
        <is>
          <t>Tech Line</t>
        </is>
      </c>
      <c r="D6" s="3" t="inlineStr">
        <is>
          <t>イベント連携</t>
        </is>
      </c>
      <c r="E6" s="9" t="n">
        <v>46032</v>
      </c>
      <c r="F6" s="3" t="inlineStr">
        <is>
          <t>掲載候補 1</t>
        </is>
      </c>
    </row>
    <row r="7">
      <c r="A7" s="8" t="n">
        <v>6</v>
      </c>
      <c r="B7" s="8" t="n">
        <v>5</v>
      </c>
      <c r="C7" s="3" t="inlineStr">
        <is>
          <t>生活スタイル</t>
        </is>
      </c>
      <c r="D7" s="3" t="inlineStr">
        <is>
          <t>Web連動企画</t>
        </is>
      </c>
      <c r="E7" s="9" t="n">
        <v>46033</v>
      </c>
      <c r="F7" s="3" t="inlineStr">
        <is>
          <t>掲載候補 1</t>
        </is>
      </c>
    </row>
    <row r="8">
      <c r="A8" s="8" t="n">
        <v>7</v>
      </c>
      <c r="B8" s="8" t="n">
        <v>6</v>
      </c>
      <c r="C8" s="3" t="inlineStr">
        <is>
          <t>カルチャー通信</t>
        </is>
      </c>
      <c r="D8" s="3" t="inlineStr">
        <is>
          <t>周年キャンペーン</t>
        </is>
      </c>
      <c r="E8" s="9" t="n">
        <v>46034</v>
      </c>
      <c r="F8" s="3" t="inlineStr">
        <is>
          <t>掲載候補 1</t>
        </is>
      </c>
    </row>
    <row r="9">
      <c r="A9" s="8" t="n">
        <v>8</v>
      </c>
      <c r="B9" s="8" t="n">
        <v>6</v>
      </c>
      <c r="C9" s="3" t="inlineStr">
        <is>
          <t>月刊メディア</t>
        </is>
      </c>
      <c r="D9" s="3" t="inlineStr">
        <is>
          <t>春号特集</t>
        </is>
      </c>
      <c r="E9" s="9" t="n">
        <v>46031</v>
      </c>
      <c r="F9" s="3" t="inlineStr">
        <is>
          <t>掲載候補 2</t>
        </is>
      </c>
    </row>
    <row r="10">
      <c r="A10" s="8" t="n">
        <v>9</v>
      </c>
      <c r="B10" s="8" t="n">
        <v>7</v>
      </c>
      <c r="C10" s="3" t="inlineStr">
        <is>
          <t>週刊PRESS</t>
        </is>
      </c>
      <c r="D10" s="3" t="inlineStr">
        <is>
          <t>春号特集</t>
        </is>
      </c>
      <c r="E10" s="9" t="n">
        <v>46035</v>
      </c>
      <c r="F10" s="3" t="inlineStr">
        <is>
          <t>掲載候補 1</t>
        </is>
      </c>
    </row>
    <row r="11">
      <c r="A11" s="8" t="n">
        <v>10</v>
      </c>
      <c r="B11" s="8" t="n">
        <v>8</v>
      </c>
      <c r="C11" s="3" t="inlineStr">
        <is>
          <t>月刊メディア</t>
        </is>
      </c>
      <c r="D11" s="3" t="inlineStr">
        <is>
          <t>新製品PR</t>
        </is>
      </c>
      <c r="E11" s="9" t="n">
        <v>46036</v>
      </c>
      <c r="F11" s="3" t="inlineStr">
        <is>
          <t>掲載候補 1</t>
        </is>
      </c>
    </row>
    <row r="12">
      <c r="A12" s="8" t="n">
        <v>11</v>
      </c>
      <c r="B12" s="8" t="n">
        <v>9</v>
      </c>
      <c r="C12" s="3" t="inlineStr">
        <is>
          <t>ニュースWave</t>
        </is>
      </c>
      <c r="D12" s="3" t="inlineStr">
        <is>
          <t>ブランド刷新</t>
        </is>
      </c>
      <c r="E12" s="9" t="n">
        <v>46037</v>
      </c>
      <c r="F12" s="3" t="inlineStr">
        <is>
          <t>掲載候補 1</t>
        </is>
      </c>
    </row>
    <row r="13">
      <c r="A13" s="8" t="n">
        <v>12</v>
      </c>
      <c r="B13" s="8" t="n">
        <v>9</v>
      </c>
      <c r="C13" s="3" t="inlineStr">
        <is>
          <t>Tech Line</t>
        </is>
      </c>
      <c r="D13" s="3" t="inlineStr">
        <is>
          <t>地域特集</t>
        </is>
      </c>
      <c r="E13" s="9" t="n">
        <v>46034</v>
      </c>
      <c r="F13" s="3" t="inlineStr">
        <is>
          <t>掲載候補 2</t>
        </is>
      </c>
    </row>
    <row r="14">
      <c r="A14" s="8" t="n">
        <v>13</v>
      </c>
      <c r="B14" s="8" t="n">
        <v>10</v>
      </c>
      <c r="C14" s="3" t="inlineStr">
        <is>
          <t>Biz Journal</t>
        </is>
      </c>
      <c r="D14" s="3" t="inlineStr">
        <is>
          <t>地域特集</t>
        </is>
      </c>
      <c r="E14" s="9" t="n">
        <v>46038</v>
      </c>
      <c r="F14" s="3" t="inlineStr">
        <is>
          <t>掲載候補 1</t>
        </is>
      </c>
    </row>
    <row r="15">
      <c r="A15" s="8" t="n">
        <v>14</v>
      </c>
      <c r="B15" s="8" t="n">
        <v>11</v>
      </c>
      <c r="C15" s="3" t="inlineStr">
        <is>
          <t>Tech Line</t>
        </is>
      </c>
      <c r="D15" s="3" t="inlineStr">
        <is>
          <t>イベント連携</t>
        </is>
      </c>
      <c r="E15" s="9" t="n">
        <v>46039</v>
      </c>
      <c r="F15" s="3" t="inlineStr">
        <is>
          <t>掲載候補 1</t>
        </is>
      </c>
    </row>
    <row r="16">
      <c r="A16" s="8" t="n">
        <v>15</v>
      </c>
      <c r="B16" s="8" t="n">
        <v>12</v>
      </c>
      <c r="C16" s="3" t="inlineStr">
        <is>
          <t>生活スタイル</t>
        </is>
      </c>
      <c r="D16" s="3" t="inlineStr">
        <is>
          <t>Web連動企画</t>
        </is>
      </c>
      <c r="E16" s="9" t="n">
        <v>46040</v>
      </c>
      <c r="F16" s="3" t="inlineStr">
        <is>
          <t>掲載候補 1</t>
        </is>
      </c>
    </row>
    <row r="17">
      <c r="A17" s="8" t="n">
        <v>16</v>
      </c>
      <c r="B17" s="8" t="n">
        <v>12</v>
      </c>
      <c r="C17" s="3" t="inlineStr">
        <is>
          <t>週刊PRESS</t>
        </is>
      </c>
      <c r="D17" s="3" t="inlineStr">
        <is>
          <t>周年キャンペーン</t>
        </is>
      </c>
      <c r="E17" s="9" t="n">
        <v>46037</v>
      </c>
      <c r="F17" s="3" t="inlineStr">
        <is>
          <t>掲載候補 2</t>
        </is>
      </c>
    </row>
    <row r="18">
      <c r="A18" s="8" t="n">
        <v>17</v>
      </c>
      <c r="B18" s="8" t="n">
        <v>13</v>
      </c>
      <c r="C18" s="3" t="inlineStr">
        <is>
          <t>カルチャー通信</t>
        </is>
      </c>
      <c r="D18" s="3" t="inlineStr">
        <is>
          <t>周年キャンペーン</t>
        </is>
      </c>
      <c r="E18" s="9" t="n">
        <v>46041</v>
      </c>
      <c r="F18" s="3" t="inlineStr">
        <is>
          <t>掲載候補 1</t>
        </is>
      </c>
    </row>
    <row r="19">
      <c r="A19" s="8" t="n">
        <v>18</v>
      </c>
      <c r="B19" s="8" t="n">
        <v>14</v>
      </c>
      <c r="C19" s="3" t="inlineStr">
        <is>
          <t>週刊PRESS</t>
        </is>
      </c>
      <c r="D19" s="3" t="inlineStr">
        <is>
          <t>春号特集</t>
        </is>
      </c>
      <c r="E19" s="9" t="n">
        <v>46042</v>
      </c>
      <c r="F19" s="3" t="inlineStr">
        <is>
          <t>掲載候補 1</t>
        </is>
      </c>
    </row>
    <row r="20">
      <c r="A20" s="8" t="n">
        <v>19</v>
      </c>
      <c r="B20" s="8" t="n">
        <v>15</v>
      </c>
      <c r="C20" s="3" t="inlineStr">
        <is>
          <t>月刊メディア</t>
        </is>
      </c>
      <c r="D20" s="3" t="inlineStr">
        <is>
          <t>新製品PR</t>
        </is>
      </c>
      <c r="E20" s="9" t="n">
        <v>46043</v>
      </c>
      <c r="F20" s="3" t="inlineStr">
        <is>
          <t>掲載候補 1</t>
        </is>
      </c>
    </row>
    <row r="21">
      <c r="A21" s="8" t="n">
        <v>20</v>
      </c>
      <c r="B21" s="8" t="n">
        <v>15</v>
      </c>
      <c r="C21" s="3" t="inlineStr">
        <is>
          <t>Biz Journal</t>
        </is>
      </c>
      <c r="D21" s="3" t="inlineStr">
        <is>
          <t>ブランド刷新</t>
        </is>
      </c>
      <c r="E21" s="9" t="n">
        <v>46040</v>
      </c>
      <c r="F21" s="3" t="inlineStr">
        <is>
          <t>掲載候補 2</t>
        </is>
      </c>
    </row>
    <row r="22">
      <c r="A22" s="8" t="n">
        <v>21</v>
      </c>
      <c r="B22" s="8" t="n">
        <v>16</v>
      </c>
      <c r="C22" s="3" t="inlineStr">
        <is>
          <t>ニュースWave</t>
        </is>
      </c>
      <c r="D22" s="3" t="inlineStr">
        <is>
          <t>ブランド刷新</t>
        </is>
      </c>
      <c r="E22" s="9" t="n">
        <v>46044</v>
      </c>
      <c r="F22" s="3" t="inlineStr">
        <is>
          <t>掲載候補 1</t>
        </is>
      </c>
    </row>
    <row r="23">
      <c r="A23" s="8" t="n">
        <v>22</v>
      </c>
      <c r="B23" s="8" t="n">
        <v>17</v>
      </c>
      <c r="C23" s="3" t="inlineStr">
        <is>
          <t>Biz Journal</t>
        </is>
      </c>
      <c r="D23" s="3" t="inlineStr">
        <is>
          <t>地域特集</t>
        </is>
      </c>
      <c r="E23" s="9" t="n">
        <v>46045</v>
      </c>
      <c r="F23" s="3" t="inlineStr">
        <is>
          <t>掲載候補 1</t>
        </is>
      </c>
    </row>
    <row r="24">
      <c r="A24" s="8" t="n">
        <v>23</v>
      </c>
      <c r="B24" s="8" t="n">
        <v>18</v>
      </c>
      <c r="C24" s="3" t="inlineStr">
        <is>
          <t>Tech Line</t>
        </is>
      </c>
      <c r="D24" s="3" t="inlineStr">
        <is>
          <t>イベント連携</t>
        </is>
      </c>
      <c r="E24" s="9" t="n">
        <v>46046</v>
      </c>
      <c r="F24" s="3" t="inlineStr">
        <is>
          <t>掲載候補 1</t>
        </is>
      </c>
    </row>
    <row r="25">
      <c r="A25" s="8" t="n">
        <v>24</v>
      </c>
      <c r="B25" s="8" t="n">
        <v>18</v>
      </c>
      <c r="C25" s="3" t="inlineStr">
        <is>
          <t>カルチャー通信</t>
        </is>
      </c>
      <c r="D25" s="3" t="inlineStr">
        <is>
          <t>Web連動企画</t>
        </is>
      </c>
      <c r="E25" s="9" t="n">
        <v>46043</v>
      </c>
      <c r="F25" s="3" t="inlineStr">
        <is>
          <t>掲載候補 2</t>
        </is>
      </c>
    </row>
    <row r="26">
      <c r="A26" s="8" t="n">
        <v>25</v>
      </c>
      <c r="B26" s="8" t="n">
        <v>19</v>
      </c>
      <c r="C26" s="3" t="inlineStr">
        <is>
          <t>生活スタイル</t>
        </is>
      </c>
      <c r="D26" s="3" t="inlineStr">
        <is>
          <t>Web連動企画</t>
        </is>
      </c>
      <c r="E26" s="9" t="n">
        <v>46047</v>
      </c>
      <c r="F26" s="3" t="inlineStr">
        <is>
          <t>掲載候補 1</t>
        </is>
      </c>
    </row>
    <row r="27">
      <c r="A27" s="8" t="n">
        <v>26</v>
      </c>
      <c r="B27" s="8" t="n">
        <v>20</v>
      </c>
      <c r="C27" s="3" t="inlineStr">
        <is>
          <t>カルチャー通信</t>
        </is>
      </c>
      <c r="D27" s="3" t="inlineStr">
        <is>
          <t>周年キャンペーン</t>
        </is>
      </c>
      <c r="E27" s="9" t="n">
        <v>46048</v>
      </c>
      <c r="F27" s="3" t="inlineStr">
        <is>
          <t>掲載候補 1</t>
        </is>
      </c>
    </row>
    <row r="28">
      <c r="A28" s="8" t="n">
        <v>27</v>
      </c>
      <c r="B28" s="8" t="n">
        <v>21</v>
      </c>
      <c r="C28" s="3" t="inlineStr">
        <is>
          <t>週刊PRESS</t>
        </is>
      </c>
      <c r="D28" s="3" t="inlineStr">
        <is>
          <t>春号特集</t>
        </is>
      </c>
      <c r="E28" s="9" t="n">
        <v>46049</v>
      </c>
      <c r="F28" s="3" t="inlineStr">
        <is>
          <t>掲載候補 1</t>
        </is>
      </c>
    </row>
    <row r="29">
      <c r="A29" s="8" t="n">
        <v>28</v>
      </c>
      <c r="B29" s="8" t="n">
        <v>21</v>
      </c>
      <c r="C29" s="3" t="inlineStr">
        <is>
          <t>ニュースWave</t>
        </is>
      </c>
      <c r="D29" s="3" t="inlineStr">
        <is>
          <t>新製品PR</t>
        </is>
      </c>
      <c r="E29" s="9" t="n">
        <v>46046</v>
      </c>
      <c r="F29" s="3" t="inlineStr">
        <is>
          <t>掲載候補 2</t>
        </is>
      </c>
    </row>
    <row r="30">
      <c r="A30" s="8" t="n">
        <v>29</v>
      </c>
      <c r="B30" s="8" t="n">
        <v>22</v>
      </c>
      <c r="C30" s="3" t="inlineStr">
        <is>
          <t>月刊メディア</t>
        </is>
      </c>
      <c r="D30" s="3" t="inlineStr">
        <is>
          <t>新製品PR</t>
        </is>
      </c>
      <c r="E30" s="9" t="n">
        <v>46050</v>
      </c>
      <c r="F30" s="3" t="inlineStr">
        <is>
          <t>掲載候補 1</t>
        </is>
      </c>
    </row>
    <row r="31">
      <c r="A31" s="8" t="n">
        <v>30</v>
      </c>
      <c r="B31" s="8" t="n">
        <v>23</v>
      </c>
      <c r="C31" s="3" t="inlineStr">
        <is>
          <t>ニュースWave</t>
        </is>
      </c>
      <c r="D31" s="3" t="inlineStr">
        <is>
          <t>ブランド刷新</t>
        </is>
      </c>
      <c r="E31" s="9" t="n">
        <v>46051</v>
      </c>
      <c r="F31" s="3" t="inlineStr">
        <is>
          <t>掲載候補 1</t>
        </is>
      </c>
    </row>
    <row r="32">
      <c r="A32" s="8" t="n">
        <v>31</v>
      </c>
      <c r="B32" s="8" t="n">
        <v>24</v>
      </c>
      <c r="C32" s="3" t="inlineStr">
        <is>
          <t>Biz Journal</t>
        </is>
      </c>
      <c r="D32" s="3" t="inlineStr">
        <is>
          <t>地域特集</t>
        </is>
      </c>
      <c r="E32" s="9" t="n">
        <v>46052</v>
      </c>
      <c r="F32" s="3" t="inlineStr">
        <is>
          <t>掲載候補 1</t>
        </is>
      </c>
    </row>
    <row r="33">
      <c r="A33" s="8" t="n">
        <v>32</v>
      </c>
      <c r="B33" s="8" t="n">
        <v>24</v>
      </c>
      <c r="C33" s="3" t="inlineStr">
        <is>
          <t>生活スタイル</t>
        </is>
      </c>
      <c r="D33" s="3" t="inlineStr">
        <is>
          <t>イベント連携</t>
        </is>
      </c>
      <c r="E33" s="9" t="n">
        <v>46049</v>
      </c>
      <c r="F33" s="3" t="inlineStr">
        <is>
          <t>掲載候補 2</t>
        </is>
      </c>
    </row>
    <row r="34">
      <c r="A34" s="8" t="n">
        <v>33</v>
      </c>
      <c r="B34" s="8" t="n">
        <v>25</v>
      </c>
      <c r="C34" s="3" t="inlineStr">
        <is>
          <t>Tech Line</t>
        </is>
      </c>
      <c r="D34" s="3" t="inlineStr">
        <is>
          <t>イベント連携</t>
        </is>
      </c>
      <c r="E34" s="9" t="n">
        <v>46053</v>
      </c>
      <c r="F34" s="3" t="inlineStr">
        <is>
          <t>掲載候補 1</t>
        </is>
      </c>
    </row>
    <row r="35">
      <c r="A35" s="8" t="n">
        <v>34</v>
      </c>
      <c r="B35" s="8" t="n">
        <v>26</v>
      </c>
      <c r="C35" s="3" t="inlineStr">
        <is>
          <t>生活スタイル</t>
        </is>
      </c>
      <c r="D35" s="3" t="inlineStr">
        <is>
          <t>Web連動企画</t>
        </is>
      </c>
      <c r="E35" s="9" t="n">
        <v>46054</v>
      </c>
      <c r="F35" s="3" t="inlineStr">
        <is>
          <t>掲載候補 1</t>
        </is>
      </c>
    </row>
    <row r="36">
      <c r="A36" s="8" t="n">
        <v>35</v>
      </c>
      <c r="B36" s="8" t="n">
        <v>27</v>
      </c>
      <c r="C36" s="3" t="inlineStr">
        <is>
          <t>カルチャー通信</t>
        </is>
      </c>
      <c r="D36" s="3" t="inlineStr">
        <is>
          <t>周年キャンペーン</t>
        </is>
      </c>
      <c r="E36" s="9" t="n">
        <v>46055</v>
      </c>
      <c r="F36" s="3" t="inlineStr">
        <is>
          <t>掲載候補 1</t>
        </is>
      </c>
    </row>
    <row r="37">
      <c r="A37" s="8" t="n">
        <v>36</v>
      </c>
      <c r="B37" s="8" t="n">
        <v>27</v>
      </c>
      <c r="C37" s="3" t="inlineStr">
        <is>
          <t>月刊メディア</t>
        </is>
      </c>
      <c r="D37" s="3" t="inlineStr">
        <is>
          <t>春号特集</t>
        </is>
      </c>
      <c r="E37" s="9" t="n">
        <v>46082</v>
      </c>
      <c r="F37" s="3" t="inlineStr">
        <is>
          <t>掲載候補 2</t>
        </is>
      </c>
    </row>
    <row r="38">
      <c r="A38" s="8" t="n">
        <v>37</v>
      </c>
      <c r="B38" s="8" t="n">
        <v>28</v>
      </c>
      <c r="C38" s="3" t="inlineStr">
        <is>
          <t>週刊PRESS</t>
        </is>
      </c>
      <c r="D38" s="3" t="inlineStr">
        <is>
          <t>春号特集</t>
        </is>
      </c>
      <c r="E38" s="9" t="n">
        <v>46056</v>
      </c>
      <c r="F38" s="3" t="inlineStr">
        <is>
          <t>掲載候補 1</t>
        </is>
      </c>
    </row>
    <row r="39">
      <c r="A39" s="8" t="n">
        <v>38</v>
      </c>
      <c r="B39" s="8" t="n">
        <v>29</v>
      </c>
      <c r="C39" s="3" t="inlineStr">
        <is>
          <t>月刊メディア</t>
        </is>
      </c>
      <c r="D39" s="3" t="inlineStr">
        <is>
          <t>新製品PR</t>
        </is>
      </c>
      <c r="E39" s="9" t="n">
        <v>46057</v>
      </c>
      <c r="F39" s="3" t="inlineStr">
        <is>
          <t>掲載候補 1</t>
        </is>
      </c>
    </row>
    <row r="40">
      <c r="A40" s="8" t="n">
        <v>39</v>
      </c>
      <c r="B40" s="8" t="n">
        <v>30</v>
      </c>
      <c r="C40" s="3" t="inlineStr">
        <is>
          <t>ニュースWave</t>
        </is>
      </c>
      <c r="D40" s="3" t="inlineStr">
        <is>
          <t>ブランド刷新</t>
        </is>
      </c>
      <c r="E40" s="9" t="n">
        <v>46088</v>
      </c>
      <c r="F40" s="3" t="inlineStr">
        <is>
          <t>掲載候補 1</t>
        </is>
      </c>
    </row>
    <row r="41">
      <c r="A41" s="8" t="n">
        <v>40</v>
      </c>
      <c r="B41" s="8" t="n">
        <v>30</v>
      </c>
      <c r="C41" s="3" t="inlineStr">
        <is>
          <t>Tech Line</t>
        </is>
      </c>
      <c r="D41" s="3" t="inlineStr">
        <is>
          <t>地域特集</t>
        </is>
      </c>
      <c r="E41" s="9" t="n">
        <v>46085</v>
      </c>
      <c r="F41" s="3" t="inlineStr">
        <is>
          <t>掲載候補 2</t>
        </is>
      </c>
    </row>
    <row r="42">
      <c r="A42" s="8" t="n">
        <v>41</v>
      </c>
      <c r="B42" s="8" t="n">
        <v>31</v>
      </c>
      <c r="C42" s="3" t="inlineStr">
        <is>
          <t>Biz Journal</t>
        </is>
      </c>
      <c r="D42" s="3" t="inlineStr">
        <is>
          <t>地域特集</t>
        </is>
      </c>
      <c r="E42" s="9" t="n">
        <v>46089</v>
      </c>
      <c r="F42" s="3" t="inlineStr">
        <is>
          <t>掲載候補 1</t>
        </is>
      </c>
    </row>
    <row r="43">
      <c r="A43" s="8" t="n">
        <v>42</v>
      </c>
      <c r="B43" s="8" t="n">
        <v>32</v>
      </c>
      <c r="C43" s="3" t="inlineStr">
        <is>
          <t>Tech Line</t>
        </is>
      </c>
      <c r="D43" s="3" t="inlineStr">
        <is>
          <t>イベント連携</t>
        </is>
      </c>
      <c r="E43" s="9" t="n">
        <v>46090</v>
      </c>
      <c r="F43" s="3" t="inlineStr">
        <is>
          <t>掲載候補 1</t>
        </is>
      </c>
    </row>
    <row r="44">
      <c r="A44" s="8" t="n">
        <v>43</v>
      </c>
      <c r="B44" s="8" t="n">
        <v>33</v>
      </c>
      <c r="C44" s="3" t="inlineStr">
        <is>
          <t>生活スタイル</t>
        </is>
      </c>
      <c r="D44" s="3" t="inlineStr">
        <is>
          <t>Web連動企画</t>
        </is>
      </c>
      <c r="E44" s="9" t="n">
        <v>46091</v>
      </c>
      <c r="F44" s="3" t="inlineStr">
        <is>
          <t>掲載候補 1</t>
        </is>
      </c>
    </row>
    <row r="45">
      <c r="A45" s="8" t="n">
        <v>44</v>
      </c>
      <c r="B45" s="8" t="n">
        <v>33</v>
      </c>
      <c r="C45" s="3" t="inlineStr">
        <is>
          <t>週刊PRESS</t>
        </is>
      </c>
      <c r="D45" s="3" t="inlineStr">
        <is>
          <t>周年キャンペーン</t>
        </is>
      </c>
      <c r="E45" s="9" t="n">
        <v>46088</v>
      </c>
      <c r="F45" s="3" t="inlineStr">
        <is>
          <t>掲載候補 2</t>
        </is>
      </c>
    </row>
    <row r="46">
      <c r="A46" s="8" t="n">
        <v>45</v>
      </c>
      <c r="B46" s="8" t="n">
        <v>34</v>
      </c>
      <c r="C46" s="3" t="inlineStr">
        <is>
          <t>カルチャー通信</t>
        </is>
      </c>
      <c r="D46" s="3" t="inlineStr">
        <is>
          <t>周年キャンペーン</t>
        </is>
      </c>
      <c r="E46" s="9" t="n">
        <v>46092</v>
      </c>
      <c r="F46" s="3" t="inlineStr">
        <is>
          <t>掲載候補 1</t>
        </is>
      </c>
    </row>
    <row r="47">
      <c r="A47" s="8" t="n">
        <v>46</v>
      </c>
      <c r="B47" s="8" t="n">
        <v>35</v>
      </c>
      <c r="C47" s="3" t="inlineStr">
        <is>
          <t>週刊PRESS</t>
        </is>
      </c>
      <c r="D47" s="3" t="inlineStr">
        <is>
          <t>春号特集</t>
        </is>
      </c>
      <c r="E47" s="9" t="n">
        <v>46093</v>
      </c>
      <c r="F47" s="3" t="inlineStr">
        <is>
          <t>掲載候補 1</t>
        </is>
      </c>
    </row>
    <row r="48">
      <c r="A48" s="8" t="n">
        <v>47</v>
      </c>
      <c r="B48" s="8" t="n">
        <v>36</v>
      </c>
      <c r="C48" s="3" t="inlineStr">
        <is>
          <t>月刊メディア</t>
        </is>
      </c>
      <c r="D48" s="3" t="inlineStr">
        <is>
          <t>新製品PR</t>
        </is>
      </c>
      <c r="E48" s="9" t="n">
        <v>46094</v>
      </c>
      <c r="F48" s="3" t="inlineStr">
        <is>
          <t>掲載候補 1</t>
        </is>
      </c>
    </row>
    <row r="49">
      <c r="A49" s="8" t="n">
        <v>48</v>
      </c>
      <c r="B49" s="8" t="n">
        <v>36</v>
      </c>
      <c r="C49" s="3" t="inlineStr">
        <is>
          <t>Biz Journal</t>
        </is>
      </c>
      <c r="D49" s="3" t="inlineStr">
        <is>
          <t>ブランド刷新</t>
        </is>
      </c>
      <c r="E49" s="9" t="n">
        <v>46091</v>
      </c>
      <c r="F49" s="3" t="inlineStr">
        <is>
          <t>掲載候補 2</t>
        </is>
      </c>
    </row>
    <row r="50">
      <c r="A50" s="8" t="n">
        <v>49</v>
      </c>
      <c r="B50" s="8" t="n">
        <v>37</v>
      </c>
      <c r="C50" s="3" t="inlineStr">
        <is>
          <t>ニュースWave</t>
        </is>
      </c>
      <c r="D50" s="3" t="inlineStr">
        <is>
          <t>ブランド刷新</t>
        </is>
      </c>
      <c r="E50" s="9" t="n">
        <v>46095</v>
      </c>
      <c r="F50" s="3" t="inlineStr">
        <is>
          <t>掲載候補 1</t>
        </is>
      </c>
    </row>
    <row r="51">
      <c r="A51" s="8" t="n">
        <v>50</v>
      </c>
      <c r="B51" s="8" t="n">
        <v>38</v>
      </c>
      <c r="C51" s="3" t="inlineStr">
        <is>
          <t>Biz Journal</t>
        </is>
      </c>
      <c r="D51" s="3" t="inlineStr">
        <is>
          <t>地域特集</t>
        </is>
      </c>
      <c r="E51" s="9" t="n">
        <v>46096</v>
      </c>
      <c r="F51" s="3" t="inlineStr">
        <is>
          <t>掲載候補 1</t>
        </is>
      </c>
    </row>
    <row r="52">
      <c r="A52" s="8" t="n">
        <v>51</v>
      </c>
      <c r="B52" s="8" t="n">
        <v>39</v>
      </c>
      <c r="C52" s="3" t="inlineStr">
        <is>
          <t>Tech Line</t>
        </is>
      </c>
      <c r="D52" s="3" t="inlineStr">
        <is>
          <t>イベント連携</t>
        </is>
      </c>
      <c r="E52" s="9" t="n">
        <v>46097</v>
      </c>
      <c r="F52" s="3" t="inlineStr">
        <is>
          <t>掲載候補 1</t>
        </is>
      </c>
    </row>
    <row r="53">
      <c r="A53" s="8" t="n">
        <v>52</v>
      </c>
      <c r="B53" s="8" t="n">
        <v>39</v>
      </c>
      <c r="C53" s="3" t="inlineStr">
        <is>
          <t>カルチャー通信</t>
        </is>
      </c>
      <c r="D53" s="3" t="inlineStr">
        <is>
          <t>Web連動企画</t>
        </is>
      </c>
      <c r="E53" s="9" t="n">
        <v>46094</v>
      </c>
      <c r="F53" s="3" t="inlineStr">
        <is>
          <t>掲載候補 2</t>
        </is>
      </c>
    </row>
    <row r="54">
      <c r="A54" s="8" t="n">
        <v>53</v>
      </c>
      <c r="B54" s="8" t="n">
        <v>40</v>
      </c>
      <c r="C54" s="3" t="inlineStr">
        <is>
          <t>生活スタイル</t>
        </is>
      </c>
      <c r="D54" s="3" t="inlineStr">
        <is>
          <t>Web連動企画</t>
        </is>
      </c>
      <c r="E54" s="9" t="n">
        <v>46098</v>
      </c>
      <c r="F54" s="3" t="inlineStr">
        <is>
          <t>掲載候補 1</t>
        </is>
      </c>
    </row>
    <row r="55">
      <c r="A55" s="8" t="n">
        <v>54</v>
      </c>
      <c r="B55" s="8" t="n">
        <v>41</v>
      </c>
      <c r="C55" s="3" t="inlineStr">
        <is>
          <t>カルチャー通信</t>
        </is>
      </c>
      <c r="D55" s="3" t="inlineStr">
        <is>
          <t>周年キャンペーン</t>
        </is>
      </c>
      <c r="E55" s="9" t="n">
        <v>46099</v>
      </c>
      <c r="F55" s="3" t="inlineStr">
        <is>
          <t>掲載候補 1</t>
        </is>
      </c>
    </row>
    <row r="56">
      <c r="A56" s="8" t="n">
        <v>55</v>
      </c>
      <c r="B56" s="8" t="n">
        <v>42</v>
      </c>
      <c r="C56" s="3" t="inlineStr">
        <is>
          <t>週刊PRESS</t>
        </is>
      </c>
      <c r="D56" s="3" t="inlineStr">
        <is>
          <t>春号特集</t>
        </is>
      </c>
      <c r="E56" s="9" t="n">
        <v>46100</v>
      </c>
      <c r="F56" s="3" t="inlineStr">
        <is>
          <t>掲載候補 1</t>
        </is>
      </c>
    </row>
    <row r="57">
      <c r="A57" s="8" t="n">
        <v>56</v>
      </c>
      <c r="B57" s="8" t="n">
        <v>42</v>
      </c>
      <c r="C57" s="3" t="inlineStr">
        <is>
          <t>ニュースWave</t>
        </is>
      </c>
      <c r="D57" s="3" t="inlineStr">
        <is>
          <t>新製品PR</t>
        </is>
      </c>
      <c r="E57" s="9" t="n">
        <v>46097</v>
      </c>
      <c r="F57" s="3" t="inlineStr">
        <is>
          <t>掲載候補 2</t>
        </is>
      </c>
    </row>
    <row r="58">
      <c r="A58" s="8" t="n">
        <v>57</v>
      </c>
      <c r="B58" s="8" t="n">
        <v>43</v>
      </c>
      <c r="C58" s="3" t="inlineStr">
        <is>
          <t>月刊メディア</t>
        </is>
      </c>
      <c r="D58" s="3" t="inlineStr">
        <is>
          <t>新製品PR</t>
        </is>
      </c>
      <c r="E58" s="9" t="n">
        <v>46101</v>
      </c>
      <c r="F58" s="3" t="inlineStr">
        <is>
          <t>掲載候補 1</t>
        </is>
      </c>
    </row>
    <row r="59">
      <c r="A59" s="8" t="n">
        <v>58</v>
      </c>
      <c r="B59" s="8" t="n">
        <v>44</v>
      </c>
      <c r="C59" s="3" t="inlineStr">
        <is>
          <t>ニュースWave</t>
        </is>
      </c>
      <c r="D59" s="3" t="inlineStr">
        <is>
          <t>ブランド刷新</t>
        </is>
      </c>
      <c r="E59" s="9" t="n">
        <v>46102</v>
      </c>
      <c r="F59" s="3" t="inlineStr">
        <is>
          <t>掲載候補 1</t>
        </is>
      </c>
    </row>
    <row r="60">
      <c r="A60" s="8" t="n">
        <v>59</v>
      </c>
      <c r="B60" s="8" t="n">
        <v>45</v>
      </c>
      <c r="C60" s="3" t="inlineStr">
        <is>
          <t>Biz Journal</t>
        </is>
      </c>
      <c r="D60" s="3" t="inlineStr">
        <is>
          <t>地域特集</t>
        </is>
      </c>
      <c r="E60" s="9" t="n">
        <v>46103</v>
      </c>
      <c r="F60" s="3" t="inlineStr">
        <is>
          <t>掲載候補 1</t>
        </is>
      </c>
    </row>
    <row r="61">
      <c r="A61" s="8" t="n">
        <v>60</v>
      </c>
      <c r="B61" s="8" t="n">
        <v>45</v>
      </c>
      <c r="C61" s="3" t="inlineStr">
        <is>
          <t>生活スタイル</t>
        </is>
      </c>
      <c r="D61" s="3" t="inlineStr">
        <is>
          <t>イベント連携</t>
        </is>
      </c>
      <c r="E61" s="9" t="n">
        <v>46100</v>
      </c>
      <c r="F61" s="3" t="inlineStr">
        <is>
          <t>掲載候補 2</t>
        </is>
      </c>
    </row>
    <row r="62">
      <c r="A62" s="8" t="n">
        <v>61</v>
      </c>
      <c r="B62" s="8" t="n">
        <v>46</v>
      </c>
      <c r="C62" s="3" t="inlineStr">
        <is>
          <t>Tech Line</t>
        </is>
      </c>
      <c r="D62" s="3" t="inlineStr">
        <is>
          <t>イベント連携</t>
        </is>
      </c>
      <c r="E62" s="9" t="n">
        <v>46104</v>
      </c>
      <c r="F62" s="3" t="inlineStr">
        <is>
          <t>掲載候補 1</t>
        </is>
      </c>
    </row>
    <row r="63">
      <c r="A63" s="8" t="n">
        <v>62</v>
      </c>
      <c r="B63" s="8" t="n">
        <v>47</v>
      </c>
      <c r="C63" s="3" t="inlineStr">
        <is>
          <t>生活スタイル</t>
        </is>
      </c>
      <c r="D63" s="3" t="inlineStr">
        <is>
          <t>Web連動企画</t>
        </is>
      </c>
      <c r="E63" s="9" t="n">
        <v>46105</v>
      </c>
      <c r="F63" s="3" t="inlineStr">
        <is>
          <t>掲載候補 1</t>
        </is>
      </c>
    </row>
    <row r="64">
      <c r="A64" s="8" t="n">
        <v>63</v>
      </c>
      <c r="B64" s="8" t="n">
        <v>48</v>
      </c>
      <c r="C64" s="3" t="inlineStr">
        <is>
          <t>カルチャー通信</t>
        </is>
      </c>
      <c r="D64" s="3" t="inlineStr">
        <is>
          <t>周年キャンペーン</t>
        </is>
      </c>
      <c r="E64" s="9" t="n">
        <v>46106</v>
      </c>
      <c r="F64" s="3" t="inlineStr">
        <is>
          <t>掲載候補 1</t>
        </is>
      </c>
    </row>
    <row r="65">
      <c r="A65" s="8" t="n">
        <v>64</v>
      </c>
      <c r="B65" s="8" t="n">
        <v>48</v>
      </c>
      <c r="C65" s="3" t="inlineStr">
        <is>
          <t>月刊メディア</t>
        </is>
      </c>
      <c r="D65" s="3" t="inlineStr">
        <is>
          <t>春号特集</t>
        </is>
      </c>
      <c r="E65" s="9" t="n">
        <v>46103</v>
      </c>
      <c r="F65" s="3" t="inlineStr">
        <is>
          <t>掲載候補 2</t>
        </is>
      </c>
    </row>
    <row r="66">
      <c r="A66" s="8" t="n">
        <v>65</v>
      </c>
      <c r="B66" s="8" t="n">
        <v>49</v>
      </c>
      <c r="C66" s="3" t="inlineStr">
        <is>
          <t>週刊PRESS</t>
        </is>
      </c>
      <c r="D66" s="3" t="inlineStr">
        <is>
          <t>春号特集</t>
        </is>
      </c>
      <c r="E66" s="9" t="n">
        <v>46107</v>
      </c>
      <c r="F66" s="3" t="inlineStr">
        <is>
          <t>掲載候補 1</t>
        </is>
      </c>
    </row>
    <row r="67">
      <c r="A67" s="8" t="n">
        <v>66</v>
      </c>
      <c r="B67" s="8" t="n">
        <v>50</v>
      </c>
      <c r="C67" s="3" t="inlineStr">
        <is>
          <t>月刊メディア</t>
        </is>
      </c>
      <c r="D67" s="3" t="inlineStr">
        <is>
          <t>新製品PR</t>
        </is>
      </c>
      <c r="E67" s="9" t="n">
        <v>46108</v>
      </c>
      <c r="F67" s="3" t="inlineStr">
        <is>
          <t>掲載候補 1</t>
        </is>
      </c>
    </row>
    <row r="68">
      <c r="A68" s="8" t="n">
        <v>67</v>
      </c>
      <c r="B68" s="8" t="n">
        <v>51</v>
      </c>
      <c r="C68" s="3" t="inlineStr">
        <is>
          <t>ニュースWave</t>
        </is>
      </c>
      <c r="D68" s="3" t="inlineStr">
        <is>
          <t>ブランド刷新</t>
        </is>
      </c>
      <c r="E68" s="9" t="n">
        <v>46109</v>
      </c>
      <c r="F68" s="3" t="inlineStr">
        <is>
          <t>掲載候補 1</t>
        </is>
      </c>
    </row>
    <row r="69">
      <c r="A69" s="8" t="n">
        <v>68</v>
      </c>
      <c r="B69" s="8" t="n">
        <v>51</v>
      </c>
      <c r="C69" s="3" t="inlineStr">
        <is>
          <t>Tech Line</t>
        </is>
      </c>
      <c r="D69" s="3" t="inlineStr">
        <is>
          <t>地域特集</t>
        </is>
      </c>
      <c r="E69" s="9" t="n">
        <v>46106</v>
      </c>
      <c r="F69" s="3" t="inlineStr">
        <is>
          <t>掲載候補 2</t>
        </is>
      </c>
    </row>
    <row r="70">
      <c r="A70" s="8" t="n">
        <v>69</v>
      </c>
      <c r="B70" s="8" t="n">
        <v>52</v>
      </c>
      <c r="C70" s="3" t="inlineStr">
        <is>
          <t>Biz Journal</t>
        </is>
      </c>
      <c r="D70" s="3" t="inlineStr">
        <is>
          <t>地域特集</t>
        </is>
      </c>
      <c r="E70" s="9" t="n">
        <v>46110</v>
      </c>
      <c r="F70" s="3" t="inlineStr">
        <is>
          <t>掲載候補 1</t>
        </is>
      </c>
    </row>
    <row r="71">
      <c r="A71" s="8" t="n">
        <v>70</v>
      </c>
      <c r="B71" s="8" t="n">
        <v>53</v>
      </c>
      <c r="C71" s="3" t="inlineStr">
        <is>
          <t>Tech Line</t>
        </is>
      </c>
      <c r="D71" s="3" t="inlineStr">
        <is>
          <t>イベント連携</t>
        </is>
      </c>
      <c r="E71" s="9" t="n">
        <v>46111</v>
      </c>
      <c r="F71" s="3" t="inlineStr">
        <is>
          <t>掲載候補 1</t>
        </is>
      </c>
    </row>
    <row r="72">
      <c r="A72" s="8" t="n">
        <v>71</v>
      </c>
      <c r="B72" s="8" t="n">
        <v>54</v>
      </c>
      <c r="C72" s="3" t="inlineStr">
        <is>
          <t>生活スタイル</t>
        </is>
      </c>
      <c r="D72" s="3" t="inlineStr">
        <is>
          <t>Web連動企画</t>
        </is>
      </c>
      <c r="E72" s="9" t="n">
        <v>46112</v>
      </c>
      <c r="F72" s="3" t="inlineStr">
        <is>
          <t>掲載候補 1</t>
        </is>
      </c>
    </row>
    <row r="73">
      <c r="A73" s="8" t="n">
        <v>72</v>
      </c>
      <c r="B73" s="8" t="n">
        <v>54</v>
      </c>
      <c r="C73" s="3" t="inlineStr">
        <is>
          <t>週刊PRESS</t>
        </is>
      </c>
      <c r="D73" s="3" t="inlineStr">
        <is>
          <t>周年キャンペーン</t>
        </is>
      </c>
      <c r="E73" s="9" t="n">
        <v>46109</v>
      </c>
      <c r="F73" s="3" t="inlineStr">
        <is>
          <t>掲載候補 2</t>
        </is>
      </c>
    </row>
    <row r="74">
      <c r="A74" s="8" t="n">
        <v>73</v>
      </c>
      <c r="B74" s="8" t="n">
        <v>55</v>
      </c>
      <c r="C74" s="3" t="inlineStr">
        <is>
          <t>カルチャー通信</t>
        </is>
      </c>
      <c r="D74" s="3" t="inlineStr">
        <is>
          <t>周年キャンペーン</t>
        </is>
      </c>
      <c r="E74" s="9" t="n">
        <v>46113</v>
      </c>
      <c r="F74" s="3" t="inlineStr">
        <is>
          <t>掲載候補 1</t>
        </is>
      </c>
    </row>
    <row r="75">
      <c r="A75" s="8" t="n">
        <v>74</v>
      </c>
      <c r="B75" s="8" t="n">
        <v>56</v>
      </c>
      <c r="C75" s="3" t="inlineStr">
        <is>
          <t>週刊PRESS</t>
        </is>
      </c>
      <c r="D75" s="3" t="inlineStr">
        <is>
          <t>春号特集</t>
        </is>
      </c>
      <c r="E75" s="9" t="n">
        <v>46114</v>
      </c>
      <c r="F75" s="3" t="inlineStr">
        <is>
          <t>掲載候補 1</t>
        </is>
      </c>
    </row>
    <row r="76">
      <c r="A76" s="8" t="n">
        <v>75</v>
      </c>
      <c r="B76" s="8" t="n">
        <v>57</v>
      </c>
      <c r="C76" s="3" t="inlineStr">
        <is>
          <t>月刊メディア</t>
        </is>
      </c>
      <c r="D76" s="3" t="inlineStr">
        <is>
          <t>新製品PR</t>
        </is>
      </c>
      <c r="E76" s="9" t="n">
        <v>46115</v>
      </c>
      <c r="F76" s="3" t="inlineStr">
        <is>
          <t>掲載候補 1</t>
        </is>
      </c>
    </row>
    <row r="77">
      <c r="A77" s="8" t="n">
        <v>76</v>
      </c>
      <c r="B77" s="8" t="n">
        <v>57</v>
      </c>
      <c r="C77" s="3" t="inlineStr">
        <is>
          <t>Biz Journal</t>
        </is>
      </c>
      <c r="D77" s="3" t="inlineStr">
        <is>
          <t>ブランド刷新</t>
        </is>
      </c>
      <c r="E77" s="9" t="n">
        <v>46142</v>
      </c>
      <c r="F77" s="3" t="inlineStr">
        <is>
          <t>掲載候補 2</t>
        </is>
      </c>
    </row>
    <row r="78">
      <c r="A78" s="8" t="n">
        <v>77</v>
      </c>
      <c r="B78" s="8" t="n">
        <v>58</v>
      </c>
      <c r="C78" s="3" t="inlineStr">
        <is>
          <t>ニュースWave</t>
        </is>
      </c>
      <c r="D78" s="3" t="inlineStr">
        <is>
          <t>ブランド刷新</t>
        </is>
      </c>
      <c r="E78" s="9" t="n">
        <v>46116</v>
      </c>
      <c r="F78" s="3" t="inlineStr">
        <is>
          <t>掲載候補 1</t>
        </is>
      </c>
    </row>
    <row r="79">
      <c r="A79" s="8" t="n">
        <v>78</v>
      </c>
      <c r="B79" s="8" t="n">
        <v>59</v>
      </c>
      <c r="C79" s="3" t="inlineStr">
        <is>
          <t>Biz Journal</t>
        </is>
      </c>
      <c r="D79" s="3" t="inlineStr">
        <is>
          <t>地域特集</t>
        </is>
      </c>
      <c r="E79" s="9" t="n">
        <v>46117</v>
      </c>
      <c r="F79" s="3" t="inlineStr">
        <is>
          <t>掲載候補 1</t>
        </is>
      </c>
    </row>
    <row r="80">
      <c r="A80" s="8" t="n">
        <v>79</v>
      </c>
      <c r="B80" s="8" t="n">
        <v>60</v>
      </c>
      <c r="C80" s="3" t="inlineStr">
        <is>
          <t>Tech Line</t>
        </is>
      </c>
      <c r="D80" s="3" t="inlineStr">
        <is>
          <t>イベント連携</t>
        </is>
      </c>
      <c r="E80" s="9" t="n">
        <v>46148</v>
      </c>
      <c r="F80" s="3" t="inlineStr">
        <is>
          <t>掲載候補 1</t>
        </is>
      </c>
    </row>
    <row r="81">
      <c r="A81" s="8" t="n">
        <v>80</v>
      </c>
      <c r="B81" s="8" t="n">
        <v>60</v>
      </c>
      <c r="C81" s="3" t="inlineStr">
        <is>
          <t>カルチャー通信</t>
        </is>
      </c>
      <c r="D81" s="3" t="inlineStr">
        <is>
          <t>Web連動企画</t>
        </is>
      </c>
      <c r="E81" s="9" t="n">
        <v>46145</v>
      </c>
      <c r="F81" s="3" t="inlineStr">
        <is>
          <t>掲載候補 2</t>
        </is>
      </c>
    </row>
    <row r="82">
      <c r="A82" s="8" t="n">
        <v>81</v>
      </c>
      <c r="B82" s="8" t="n">
        <v>61</v>
      </c>
      <c r="C82" s="3" t="inlineStr">
        <is>
          <t>生活スタイル</t>
        </is>
      </c>
      <c r="D82" s="3" t="inlineStr">
        <is>
          <t>Web連動企画</t>
        </is>
      </c>
      <c r="E82" s="9" t="n">
        <v>46149</v>
      </c>
      <c r="F82" s="3" t="inlineStr">
        <is>
          <t>掲載候補 1</t>
        </is>
      </c>
    </row>
    <row r="83">
      <c r="A83" s="8" t="n">
        <v>82</v>
      </c>
      <c r="B83" s="8" t="n">
        <v>62</v>
      </c>
      <c r="C83" s="3" t="inlineStr">
        <is>
          <t>カルチャー通信</t>
        </is>
      </c>
      <c r="D83" s="3" t="inlineStr">
        <is>
          <t>周年キャンペーン</t>
        </is>
      </c>
      <c r="E83" s="9" t="n">
        <v>46150</v>
      </c>
      <c r="F83" s="3" t="inlineStr">
        <is>
          <t>掲載候補 1</t>
        </is>
      </c>
    </row>
    <row r="84">
      <c r="A84" s="8" t="n">
        <v>83</v>
      </c>
      <c r="B84" s="8" t="n">
        <v>63</v>
      </c>
      <c r="C84" s="3" t="inlineStr">
        <is>
          <t>週刊PRESS</t>
        </is>
      </c>
      <c r="D84" s="3" t="inlineStr">
        <is>
          <t>春号特集</t>
        </is>
      </c>
      <c r="E84" s="9" t="n">
        <v>46151</v>
      </c>
      <c r="F84" s="3" t="inlineStr">
        <is>
          <t>掲載候補 1</t>
        </is>
      </c>
    </row>
    <row r="85">
      <c r="A85" s="8" t="n">
        <v>84</v>
      </c>
      <c r="B85" s="8" t="n">
        <v>63</v>
      </c>
      <c r="C85" s="3" t="inlineStr">
        <is>
          <t>ニュースWave</t>
        </is>
      </c>
      <c r="D85" s="3" t="inlineStr">
        <is>
          <t>新製品PR</t>
        </is>
      </c>
      <c r="E85" s="9" t="n">
        <v>46148</v>
      </c>
      <c r="F85" s="3" t="inlineStr">
        <is>
          <t>掲載候補 2</t>
        </is>
      </c>
    </row>
    <row r="86">
      <c r="A86" s="8" t="n">
        <v>85</v>
      </c>
      <c r="B86" s="8" t="n">
        <v>64</v>
      </c>
      <c r="C86" s="3" t="inlineStr">
        <is>
          <t>月刊メディア</t>
        </is>
      </c>
      <c r="D86" s="3" t="inlineStr">
        <is>
          <t>新製品PR</t>
        </is>
      </c>
      <c r="E86" s="9" t="n">
        <v>46152</v>
      </c>
      <c r="F86" s="3" t="inlineStr">
        <is>
          <t>掲載候補 1</t>
        </is>
      </c>
    </row>
    <row r="87">
      <c r="A87" s="8" t="n">
        <v>86</v>
      </c>
      <c r="B87" s="8" t="n">
        <v>65</v>
      </c>
      <c r="C87" s="3" t="inlineStr">
        <is>
          <t>ニュースWave</t>
        </is>
      </c>
      <c r="D87" s="3" t="inlineStr">
        <is>
          <t>ブランド刷新</t>
        </is>
      </c>
      <c r="E87" s="9" t="n">
        <v>46153</v>
      </c>
      <c r="F87" s="3" t="inlineStr">
        <is>
          <t>掲載候補 1</t>
        </is>
      </c>
    </row>
    <row r="88">
      <c r="A88" s="8" t="n">
        <v>87</v>
      </c>
      <c r="B88" s="8" t="n">
        <v>66</v>
      </c>
      <c r="C88" s="3" t="inlineStr">
        <is>
          <t>Biz Journal</t>
        </is>
      </c>
      <c r="D88" s="3" t="inlineStr">
        <is>
          <t>地域特集</t>
        </is>
      </c>
      <c r="E88" s="9" t="n">
        <v>46154</v>
      </c>
      <c r="F88" s="3" t="inlineStr">
        <is>
          <t>掲載候補 1</t>
        </is>
      </c>
    </row>
    <row r="89">
      <c r="A89" s="8" t="n">
        <v>88</v>
      </c>
      <c r="B89" s="8" t="n">
        <v>66</v>
      </c>
      <c r="C89" s="3" t="inlineStr">
        <is>
          <t>生活スタイル</t>
        </is>
      </c>
      <c r="D89" s="3" t="inlineStr">
        <is>
          <t>イベント連携</t>
        </is>
      </c>
      <c r="E89" s="9" t="n">
        <v>46151</v>
      </c>
      <c r="F89" s="3" t="inlineStr">
        <is>
          <t>掲載候補 2</t>
        </is>
      </c>
    </row>
    <row r="90">
      <c r="A90" s="8" t="n">
        <v>89</v>
      </c>
      <c r="B90" s="8" t="n">
        <v>67</v>
      </c>
      <c r="C90" s="3" t="inlineStr">
        <is>
          <t>Tech Line</t>
        </is>
      </c>
      <c r="D90" s="3" t="inlineStr">
        <is>
          <t>イベント連携</t>
        </is>
      </c>
      <c r="E90" s="9" t="n">
        <v>46155</v>
      </c>
      <c r="F90" s="3" t="inlineStr">
        <is>
          <t>掲載候補 1</t>
        </is>
      </c>
    </row>
    <row r="91">
      <c r="A91" s="8" t="n">
        <v>90</v>
      </c>
      <c r="B91" s="8" t="n">
        <v>68</v>
      </c>
      <c r="C91" s="3" t="inlineStr">
        <is>
          <t>生活スタイル</t>
        </is>
      </c>
      <c r="D91" s="3" t="inlineStr">
        <is>
          <t>Web連動企画</t>
        </is>
      </c>
      <c r="E91" s="9" t="n">
        <v>46156</v>
      </c>
      <c r="F91" s="3" t="inlineStr">
        <is>
          <t>掲載候補 1</t>
        </is>
      </c>
    </row>
    <row r="92">
      <c r="A92" s="8" t="n">
        <v>91</v>
      </c>
      <c r="B92" s="8" t="n">
        <v>69</v>
      </c>
      <c r="C92" s="3" t="inlineStr">
        <is>
          <t>カルチャー通信</t>
        </is>
      </c>
      <c r="D92" s="3" t="inlineStr">
        <is>
          <t>周年キャンペーン</t>
        </is>
      </c>
      <c r="E92" s="9" t="n">
        <v>46157</v>
      </c>
      <c r="F92" s="3" t="inlineStr">
        <is>
          <t>掲載候補 1</t>
        </is>
      </c>
    </row>
    <row r="93">
      <c r="A93" s="8" t="n">
        <v>92</v>
      </c>
      <c r="B93" s="8" t="n">
        <v>69</v>
      </c>
      <c r="C93" s="3" t="inlineStr">
        <is>
          <t>月刊メディア</t>
        </is>
      </c>
      <c r="D93" s="3" t="inlineStr">
        <is>
          <t>春号特集</t>
        </is>
      </c>
      <c r="E93" s="9" t="n">
        <v>46154</v>
      </c>
      <c r="F93" s="3" t="inlineStr">
        <is>
          <t>掲載候補 2</t>
        </is>
      </c>
    </row>
    <row r="94">
      <c r="A94" s="8" t="n">
        <v>93</v>
      </c>
      <c r="B94" s="8" t="n">
        <v>70</v>
      </c>
      <c r="C94" s="3" t="inlineStr">
        <is>
          <t>週刊PRESS</t>
        </is>
      </c>
      <c r="D94" s="3" t="inlineStr">
        <is>
          <t>春号特集</t>
        </is>
      </c>
      <c r="E94" s="9" t="n">
        <v>46158</v>
      </c>
      <c r="F94" s="3" t="inlineStr">
        <is>
          <t>掲載候補 1</t>
        </is>
      </c>
    </row>
    <row r="95">
      <c r="A95" s="8" t="n">
        <v>94</v>
      </c>
      <c r="B95" s="8" t="n">
        <v>71</v>
      </c>
      <c r="C95" s="3" t="inlineStr">
        <is>
          <t>月刊メディア</t>
        </is>
      </c>
      <c r="D95" s="3" t="inlineStr">
        <is>
          <t>新製品PR</t>
        </is>
      </c>
      <c r="E95" s="9" t="n">
        <v>46159</v>
      </c>
      <c r="F95" s="3" t="inlineStr">
        <is>
          <t>掲載候補 1</t>
        </is>
      </c>
    </row>
    <row r="96">
      <c r="A96" s="8" t="n">
        <v>95</v>
      </c>
      <c r="B96" s="8" t="n">
        <v>72</v>
      </c>
      <c r="C96" s="3" t="inlineStr">
        <is>
          <t>ニュースWave</t>
        </is>
      </c>
      <c r="D96" s="3" t="inlineStr">
        <is>
          <t>ブランド刷新</t>
        </is>
      </c>
      <c r="E96" s="9" t="n">
        <v>46160</v>
      </c>
      <c r="F96" s="3" t="inlineStr">
        <is>
          <t>掲載候補 1</t>
        </is>
      </c>
    </row>
    <row r="97">
      <c r="A97" s="8" t="n">
        <v>96</v>
      </c>
      <c r="B97" s="8" t="n">
        <v>72</v>
      </c>
      <c r="C97" s="3" t="inlineStr">
        <is>
          <t>Tech Line</t>
        </is>
      </c>
      <c r="D97" s="3" t="inlineStr">
        <is>
          <t>地域特集</t>
        </is>
      </c>
      <c r="E97" s="9" t="n">
        <v>46157</v>
      </c>
      <c r="F97" s="3" t="inlineStr">
        <is>
          <t>掲載候補 2</t>
        </is>
      </c>
    </row>
    <row r="98">
      <c r="A98" s="8" t="n">
        <v>97</v>
      </c>
      <c r="B98" s="8" t="n">
        <v>73</v>
      </c>
      <c r="C98" s="3" t="inlineStr">
        <is>
          <t>Biz Journal</t>
        </is>
      </c>
      <c r="D98" s="3" t="inlineStr">
        <is>
          <t>地域特集</t>
        </is>
      </c>
      <c r="E98" s="9" t="n">
        <v>46161</v>
      </c>
      <c r="F98" s="3" t="inlineStr">
        <is>
          <t>掲載候補 1</t>
        </is>
      </c>
    </row>
    <row r="99">
      <c r="A99" s="8" t="n">
        <v>98</v>
      </c>
      <c r="B99" s="8" t="n">
        <v>74</v>
      </c>
      <c r="C99" s="3" t="inlineStr">
        <is>
          <t>Tech Line</t>
        </is>
      </c>
      <c r="D99" s="3" t="inlineStr">
        <is>
          <t>イベント連携</t>
        </is>
      </c>
      <c r="E99" s="9" t="n">
        <v>46162</v>
      </c>
      <c r="F99" s="3" t="inlineStr">
        <is>
          <t>掲載候補 1</t>
        </is>
      </c>
    </row>
    <row r="100">
      <c r="A100" s="8" t="n">
        <v>99</v>
      </c>
      <c r="B100" s="8" t="n">
        <v>75</v>
      </c>
      <c r="C100" s="3" t="inlineStr">
        <is>
          <t>生活スタイル</t>
        </is>
      </c>
      <c r="D100" s="3" t="inlineStr">
        <is>
          <t>Web連動企画</t>
        </is>
      </c>
      <c r="E100" s="9" t="n">
        <v>46013</v>
      </c>
      <c r="F100" s="3" t="inlineStr">
        <is>
          <t>掲載候補 1</t>
        </is>
      </c>
    </row>
    <row r="101">
      <c r="A101" s="8" t="n">
        <v>100</v>
      </c>
      <c r="B101" s="8" t="n">
        <v>75</v>
      </c>
      <c r="C101" s="3" t="inlineStr">
        <is>
          <t>週刊PRESS</t>
        </is>
      </c>
      <c r="D101" s="3" t="inlineStr">
        <is>
          <t>周年キャンペーン</t>
        </is>
      </c>
      <c r="E101" s="9" t="n">
        <v>46010</v>
      </c>
      <c r="F101" s="3" t="inlineStr">
        <is>
          <t>掲載候補 2</t>
        </is>
      </c>
    </row>
    <row r="102">
      <c r="A102" s="8" t="n">
        <v>101</v>
      </c>
      <c r="B102" s="8" t="n">
        <v>76</v>
      </c>
      <c r="C102" s="3" t="inlineStr">
        <is>
          <t>カルチャー通信</t>
        </is>
      </c>
      <c r="D102" s="3" t="inlineStr">
        <is>
          <t>周年キャンペーン</t>
        </is>
      </c>
      <c r="E102" s="9" t="n">
        <v>46014</v>
      </c>
      <c r="F102" s="3" t="inlineStr">
        <is>
          <t>掲載候補 1</t>
        </is>
      </c>
    </row>
    <row r="103">
      <c r="A103" s="8" t="n">
        <v>102</v>
      </c>
      <c r="B103" s="8" t="n">
        <v>77</v>
      </c>
      <c r="C103" s="3" t="inlineStr">
        <is>
          <t>週刊PRESS</t>
        </is>
      </c>
      <c r="D103" s="3" t="inlineStr">
        <is>
          <t>春号特集</t>
        </is>
      </c>
      <c r="E103" s="9" t="n">
        <v>46015</v>
      </c>
      <c r="F103" s="3" t="inlineStr">
        <is>
          <t>掲載候補 1</t>
        </is>
      </c>
    </row>
    <row r="104">
      <c r="A104" s="8" t="n">
        <v>103</v>
      </c>
      <c r="B104" s="8" t="n">
        <v>78</v>
      </c>
      <c r="C104" s="3" t="inlineStr">
        <is>
          <t>月刊メディア</t>
        </is>
      </c>
      <c r="D104" s="3" t="inlineStr">
        <is>
          <t>新製品PR</t>
        </is>
      </c>
      <c r="E104" s="9" t="n">
        <v>46016</v>
      </c>
      <c r="F104" s="3" t="inlineStr">
        <is>
          <t>掲載候補 1</t>
        </is>
      </c>
    </row>
    <row r="105">
      <c r="A105" s="8" t="n">
        <v>104</v>
      </c>
      <c r="B105" s="8" t="n">
        <v>78</v>
      </c>
      <c r="C105" s="3" t="inlineStr">
        <is>
          <t>Biz Journal</t>
        </is>
      </c>
      <c r="D105" s="3" t="inlineStr">
        <is>
          <t>ブランド刷新</t>
        </is>
      </c>
      <c r="E105" s="9" t="n">
        <v>46013</v>
      </c>
      <c r="F105" s="3" t="inlineStr">
        <is>
          <t>掲載候補 2</t>
        </is>
      </c>
    </row>
    <row r="106">
      <c r="A106" s="8" t="n">
        <v>105</v>
      </c>
      <c r="B106" s="8" t="n">
        <v>79</v>
      </c>
      <c r="C106" s="3" t="inlineStr">
        <is>
          <t>ニュースWave</t>
        </is>
      </c>
      <c r="D106" s="3" t="inlineStr">
        <is>
          <t>ブランド刷新</t>
        </is>
      </c>
      <c r="E106" s="9" t="n">
        <v>46017</v>
      </c>
      <c r="F106" s="3" t="inlineStr">
        <is>
          <t>掲載候補 1</t>
        </is>
      </c>
    </row>
    <row r="107">
      <c r="A107" s="8" t="n">
        <v>106</v>
      </c>
      <c r="B107" s="8" t="n">
        <v>80</v>
      </c>
      <c r="C107" s="3" t="inlineStr">
        <is>
          <t>Biz Journal</t>
        </is>
      </c>
      <c r="D107" s="3" t="inlineStr">
        <is>
          <t>地域特集</t>
        </is>
      </c>
      <c r="E107" s="9" t="n">
        <v>46018</v>
      </c>
      <c r="F107" s="3" t="inlineStr">
        <is>
          <t>掲載候補 1</t>
        </is>
      </c>
    </row>
    <row r="108">
      <c r="A108" s="8" t="n">
        <v>107</v>
      </c>
      <c r="B108" s="8" t="n">
        <v>81</v>
      </c>
      <c r="C108" s="3" t="inlineStr">
        <is>
          <t>Tech Line</t>
        </is>
      </c>
      <c r="D108" s="3" t="inlineStr">
        <is>
          <t>イベント連携</t>
        </is>
      </c>
      <c r="E108" s="9" t="n">
        <v>46019</v>
      </c>
      <c r="F108" s="3" t="inlineStr">
        <is>
          <t>掲載候補 1</t>
        </is>
      </c>
    </row>
    <row r="109">
      <c r="A109" s="8" t="n">
        <v>108</v>
      </c>
      <c r="B109" s="8" t="n">
        <v>81</v>
      </c>
      <c r="C109" s="3" t="inlineStr">
        <is>
          <t>カルチャー通信</t>
        </is>
      </c>
      <c r="D109" s="3" t="inlineStr">
        <is>
          <t>Web連動企画</t>
        </is>
      </c>
      <c r="E109" s="9" t="n">
        <v>46016</v>
      </c>
      <c r="F109" s="3" t="inlineStr">
        <is>
          <t>掲載候補 2</t>
        </is>
      </c>
    </row>
    <row r="110">
      <c r="A110" s="8" t="n">
        <v>109</v>
      </c>
      <c r="B110" s="8" t="n">
        <v>82</v>
      </c>
      <c r="C110" s="3" t="inlineStr">
        <is>
          <t>生活スタイル</t>
        </is>
      </c>
      <c r="D110" s="3" t="inlineStr">
        <is>
          <t>Web連動企画</t>
        </is>
      </c>
      <c r="E110" s="9" t="n">
        <v>46020</v>
      </c>
      <c r="F110" s="3" t="inlineStr">
        <is>
          <t>掲載候補 1</t>
        </is>
      </c>
    </row>
    <row r="111">
      <c r="A111" s="8" t="n">
        <v>110</v>
      </c>
      <c r="B111" s="8" t="n">
        <v>83</v>
      </c>
      <c r="C111" s="3" t="inlineStr">
        <is>
          <t>カルチャー通信</t>
        </is>
      </c>
      <c r="D111" s="3" t="inlineStr">
        <is>
          <t>周年キャンペーン</t>
        </is>
      </c>
      <c r="E111" s="9" t="n">
        <v>46021</v>
      </c>
      <c r="F111" s="3" t="inlineStr">
        <is>
          <t>掲載候補 1</t>
        </is>
      </c>
    </row>
    <row r="112">
      <c r="A112" s="8" t="n">
        <v>111</v>
      </c>
      <c r="B112" s="8" t="n">
        <v>84</v>
      </c>
      <c r="C112" s="3" t="inlineStr">
        <is>
          <t>週刊PRESS</t>
        </is>
      </c>
      <c r="D112" s="3" t="inlineStr">
        <is>
          <t>春号特集</t>
        </is>
      </c>
      <c r="E112" s="9" t="n">
        <v>46022</v>
      </c>
      <c r="F112" s="3" t="inlineStr">
        <is>
          <t>掲載候補 1</t>
        </is>
      </c>
    </row>
    <row r="113">
      <c r="A113" s="8" t="n">
        <v>112</v>
      </c>
      <c r="B113" s="8" t="n">
        <v>84</v>
      </c>
      <c r="C113" s="3" t="inlineStr">
        <is>
          <t>ニュースWave</t>
        </is>
      </c>
      <c r="D113" s="3" t="inlineStr">
        <is>
          <t>新製品PR</t>
        </is>
      </c>
      <c r="E113" s="9" t="n">
        <v>46019</v>
      </c>
      <c r="F113" s="3" t="inlineStr">
        <is>
          <t>掲載候補 2</t>
        </is>
      </c>
    </row>
    <row r="114">
      <c r="A114" s="8" t="n">
        <v>113</v>
      </c>
      <c r="B114" s="8" t="n">
        <v>85</v>
      </c>
      <c r="C114" s="3" t="inlineStr">
        <is>
          <t>月刊メディア</t>
        </is>
      </c>
      <c r="D114" s="3" t="inlineStr">
        <is>
          <t>新製品PR</t>
        </is>
      </c>
      <c r="E114" s="9" t="n">
        <v>46023</v>
      </c>
      <c r="F114" s="3" t="inlineStr">
        <is>
          <t>掲載候補 1</t>
        </is>
      </c>
    </row>
    <row r="115">
      <c r="A115" s="8" t="n">
        <v>114</v>
      </c>
      <c r="B115" s="8" t="n">
        <v>86</v>
      </c>
      <c r="C115" s="3" t="inlineStr">
        <is>
          <t>ニュースWave</t>
        </is>
      </c>
      <c r="D115" s="3" t="inlineStr">
        <is>
          <t>ブランド刷新</t>
        </is>
      </c>
      <c r="E115" s="9" t="n">
        <v>46024</v>
      </c>
      <c r="F115" s="3" t="inlineStr">
        <is>
          <t>掲載候補 1</t>
        </is>
      </c>
    </row>
    <row r="116">
      <c r="A116" s="8" t="n">
        <v>115</v>
      </c>
      <c r="B116" s="8" t="n">
        <v>87</v>
      </c>
      <c r="C116" s="3" t="inlineStr">
        <is>
          <t>Biz Journal</t>
        </is>
      </c>
      <c r="D116" s="3" t="inlineStr">
        <is>
          <t>地域特集</t>
        </is>
      </c>
      <c r="E116" s="9" t="n">
        <v>46025</v>
      </c>
      <c r="F116" s="3" t="inlineStr">
        <is>
          <t>掲載候補 1</t>
        </is>
      </c>
    </row>
    <row r="117">
      <c r="A117" s="8" t="n">
        <v>116</v>
      </c>
      <c r="B117" s="8" t="n">
        <v>87</v>
      </c>
      <c r="C117" s="3" t="inlineStr">
        <is>
          <t>生活スタイル</t>
        </is>
      </c>
      <c r="D117" s="3" t="inlineStr">
        <is>
          <t>イベント連携</t>
        </is>
      </c>
      <c r="E117" s="9" t="n">
        <v>46052</v>
      </c>
      <c r="F117" s="3" t="inlineStr">
        <is>
          <t>掲載候補 2</t>
        </is>
      </c>
    </row>
    <row r="118">
      <c r="A118" s="8" t="n">
        <v>117</v>
      </c>
      <c r="B118" s="8" t="n">
        <v>88</v>
      </c>
      <c r="C118" s="3" t="inlineStr">
        <is>
          <t>Tech Line</t>
        </is>
      </c>
      <c r="D118" s="3" t="inlineStr">
        <is>
          <t>イベント連携</t>
        </is>
      </c>
      <c r="E118" s="9" t="n">
        <v>46026</v>
      </c>
      <c r="F118" s="3" t="inlineStr">
        <is>
          <t>掲載候補 1</t>
        </is>
      </c>
    </row>
    <row r="119">
      <c r="A119" s="8" t="n">
        <v>118</v>
      </c>
      <c r="B119" s="8" t="n">
        <v>89</v>
      </c>
      <c r="C119" s="3" t="inlineStr">
        <is>
          <t>生活スタイル</t>
        </is>
      </c>
      <c r="D119" s="3" t="inlineStr">
        <is>
          <t>Web連動企画</t>
        </is>
      </c>
      <c r="E119" s="9" t="n">
        <v>46027</v>
      </c>
      <c r="F119" s="3" t="inlineStr">
        <is>
          <t>掲載候補 1</t>
        </is>
      </c>
    </row>
    <row r="120">
      <c r="A120" s="8" t="n">
        <v>119</v>
      </c>
      <c r="B120" s="8" t="n">
        <v>90</v>
      </c>
      <c r="C120" s="3" t="inlineStr">
        <is>
          <t>カルチャー通信</t>
        </is>
      </c>
      <c r="D120" s="3" t="inlineStr">
        <is>
          <t>周年キャンペーン</t>
        </is>
      </c>
      <c r="E120" s="9" t="n">
        <v>46058</v>
      </c>
      <c r="F120" s="3" t="inlineStr">
        <is>
          <t>掲載候補 1</t>
        </is>
      </c>
    </row>
    <row r="121">
      <c r="A121" s="8" t="n">
        <v>120</v>
      </c>
      <c r="B121" s="8" t="n">
        <v>90</v>
      </c>
      <c r="C121" s="3" t="inlineStr">
        <is>
          <t>月刊メディア</t>
        </is>
      </c>
      <c r="D121" s="3" t="inlineStr">
        <is>
          <t>春号特集</t>
        </is>
      </c>
      <c r="E121" s="9" t="n">
        <v>46055</v>
      </c>
      <c r="F121" s="3" t="inlineStr">
        <is>
          <t>掲載候補 2</t>
        </is>
      </c>
    </row>
    <row r="122">
      <c r="A122" s="8" t="n">
        <v>121</v>
      </c>
      <c r="B122" s="8" t="n">
        <v>91</v>
      </c>
      <c r="C122" s="3" t="inlineStr">
        <is>
          <t>週刊PRESS</t>
        </is>
      </c>
      <c r="D122" s="3" t="inlineStr">
        <is>
          <t>春号特集</t>
        </is>
      </c>
      <c r="E122" s="9" t="n">
        <v>46059</v>
      </c>
      <c r="F122" s="3" t="inlineStr">
        <is>
          <t>掲載候補 1</t>
        </is>
      </c>
    </row>
    <row r="123">
      <c r="A123" s="8" t="n">
        <v>122</v>
      </c>
      <c r="B123" s="8" t="n">
        <v>92</v>
      </c>
      <c r="C123" s="3" t="inlineStr">
        <is>
          <t>月刊メディア</t>
        </is>
      </c>
      <c r="D123" s="3" t="inlineStr">
        <is>
          <t>新製品PR</t>
        </is>
      </c>
      <c r="E123" s="9" t="n">
        <v>46060</v>
      </c>
      <c r="F123" s="3" t="inlineStr">
        <is>
          <t>掲載候補 1</t>
        </is>
      </c>
    </row>
    <row r="124">
      <c r="A124" s="8" t="n">
        <v>123</v>
      </c>
      <c r="B124" s="8" t="n">
        <v>93</v>
      </c>
      <c r="C124" s="3" t="inlineStr">
        <is>
          <t>ニュースWave</t>
        </is>
      </c>
      <c r="D124" s="3" t="inlineStr">
        <is>
          <t>ブランド刷新</t>
        </is>
      </c>
      <c r="E124" s="9" t="n">
        <v>46061</v>
      </c>
      <c r="F124" s="3" t="inlineStr">
        <is>
          <t>掲載候補 1</t>
        </is>
      </c>
    </row>
    <row r="125">
      <c r="A125" s="8" t="n">
        <v>124</v>
      </c>
      <c r="B125" s="8" t="n">
        <v>93</v>
      </c>
      <c r="C125" s="3" t="inlineStr">
        <is>
          <t>Tech Line</t>
        </is>
      </c>
      <c r="D125" s="3" t="inlineStr">
        <is>
          <t>地域特集</t>
        </is>
      </c>
      <c r="E125" s="9" t="n">
        <v>46058</v>
      </c>
      <c r="F125" s="3" t="inlineStr">
        <is>
          <t>掲載候補 2</t>
        </is>
      </c>
    </row>
    <row r="126">
      <c r="A126" s="8" t="n">
        <v>125</v>
      </c>
      <c r="B126" s="8" t="n">
        <v>94</v>
      </c>
      <c r="C126" s="3" t="inlineStr">
        <is>
          <t>Biz Journal</t>
        </is>
      </c>
      <c r="D126" s="3" t="inlineStr">
        <is>
          <t>地域特集</t>
        </is>
      </c>
      <c r="E126" s="9" t="n">
        <v>46062</v>
      </c>
      <c r="F126" s="3" t="inlineStr">
        <is>
          <t>掲載候補 1</t>
        </is>
      </c>
    </row>
    <row r="127">
      <c r="A127" s="8" t="n">
        <v>126</v>
      </c>
      <c r="B127" s="8" t="n">
        <v>95</v>
      </c>
      <c r="C127" s="3" t="inlineStr">
        <is>
          <t>Tech Line</t>
        </is>
      </c>
      <c r="D127" s="3" t="inlineStr">
        <is>
          <t>イベント連携</t>
        </is>
      </c>
      <c r="E127" s="9" t="n">
        <v>46063</v>
      </c>
      <c r="F127" s="3" t="inlineStr">
        <is>
          <t>掲載候補 1</t>
        </is>
      </c>
    </row>
    <row r="128">
      <c r="A128" s="8" t="n">
        <v>127</v>
      </c>
      <c r="B128" s="8" t="n">
        <v>96</v>
      </c>
      <c r="C128" s="3" t="inlineStr">
        <is>
          <t>生活スタイル</t>
        </is>
      </c>
      <c r="D128" s="3" t="inlineStr">
        <is>
          <t>Web連動企画</t>
        </is>
      </c>
      <c r="E128" s="9" t="n">
        <v>46064</v>
      </c>
      <c r="F128" s="3" t="inlineStr">
        <is>
          <t>掲載候補 1</t>
        </is>
      </c>
    </row>
    <row r="129">
      <c r="A129" s="8" t="n">
        <v>128</v>
      </c>
      <c r="B129" s="8" t="n">
        <v>96</v>
      </c>
      <c r="C129" s="3" t="inlineStr">
        <is>
          <t>週刊PRESS</t>
        </is>
      </c>
      <c r="D129" s="3" t="inlineStr">
        <is>
          <t>周年キャンペーン</t>
        </is>
      </c>
      <c r="E129" s="9" t="n">
        <v>46061</v>
      </c>
      <c r="F129" s="3" t="inlineStr">
        <is>
          <t>掲載候補 2</t>
        </is>
      </c>
    </row>
    <row r="130">
      <c r="A130" s="8" t="n">
        <v>129</v>
      </c>
      <c r="B130" s="8" t="n">
        <v>97</v>
      </c>
      <c r="C130" s="3" t="inlineStr">
        <is>
          <t>カルチャー通信</t>
        </is>
      </c>
      <c r="D130" s="3" t="inlineStr">
        <is>
          <t>周年キャンペーン</t>
        </is>
      </c>
      <c r="E130" s="9" t="n">
        <v>46065</v>
      </c>
      <c r="F130" s="3" t="inlineStr">
        <is>
          <t>掲載候補 1</t>
        </is>
      </c>
    </row>
    <row r="131">
      <c r="A131" s="8" t="n">
        <v>130</v>
      </c>
      <c r="B131" s="8" t="n">
        <v>98</v>
      </c>
      <c r="C131" s="3" t="inlineStr">
        <is>
          <t>週刊PRESS</t>
        </is>
      </c>
      <c r="D131" s="3" t="inlineStr">
        <is>
          <t>春号特集</t>
        </is>
      </c>
      <c r="E131" s="9" t="n">
        <v>46066</v>
      </c>
      <c r="F131" s="3" t="inlineStr">
        <is>
          <t>掲載候補 1</t>
        </is>
      </c>
    </row>
    <row r="132">
      <c r="A132" s="8" t="n">
        <v>131</v>
      </c>
      <c r="B132" s="8" t="n">
        <v>99</v>
      </c>
      <c r="C132" s="3" t="inlineStr">
        <is>
          <t>月刊メディア</t>
        </is>
      </c>
      <c r="D132" s="3" t="inlineStr">
        <is>
          <t>新製品PR</t>
        </is>
      </c>
      <c r="E132" s="9" t="n">
        <v>46067</v>
      </c>
      <c r="F132" s="3" t="inlineStr">
        <is>
          <t>掲載候補 1</t>
        </is>
      </c>
    </row>
    <row r="133">
      <c r="A133" s="8" t="n">
        <v>132</v>
      </c>
      <c r="B133" s="8" t="n">
        <v>99</v>
      </c>
      <c r="C133" s="3" t="inlineStr">
        <is>
          <t>Biz Journal</t>
        </is>
      </c>
      <c r="D133" s="3" t="inlineStr">
        <is>
          <t>ブランド刷新</t>
        </is>
      </c>
      <c r="E133" s="9" t="n">
        <v>46064</v>
      </c>
      <c r="F133" s="3" t="inlineStr">
        <is>
          <t>掲載候補 2</t>
        </is>
      </c>
    </row>
    <row r="134">
      <c r="A134" s="8" t="n">
        <v>133</v>
      </c>
      <c r="B134" s="8" t="n">
        <v>100</v>
      </c>
      <c r="C134" s="3" t="inlineStr">
        <is>
          <t>ニュースWave</t>
        </is>
      </c>
      <c r="D134" s="3" t="inlineStr">
        <is>
          <t>ブランド刷新</t>
        </is>
      </c>
      <c r="E134" s="9" t="n">
        <v>46068</v>
      </c>
      <c r="F134" s="3" t="inlineStr">
        <is>
          <t>掲載候補 1</t>
        </is>
      </c>
    </row>
    <row r="135">
      <c r="A135" s="8" t="n">
        <v>134</v>
      </c>
      <c r="B135" s="8" t="n">
        <v>101</v>
      </c>
      <c r="C135" s="3" t="inlineStr">
        <is>
          <t>Biz Journal</t>
        </is>
      </c>
      <c r="D135" s="3" t="inlineStr">
        <is>
          <t>地域特集</t>
        </is>
      </c>
      <c r="E135" s="9" t="n">
        <v>46069</v>
      </c>
      <c r="F135" s="3" t="inlineStr">
        <is>
          <t>掲載候補 1</t>
        </is>
      </c>
    </row>
    <row r="136">
      <c r="A136" s="8" t="n">
        <v>135</v>
      </c>
      <c r="B136" s="8" t="n">
        <v>102</v>
      </c>
      <c r="C136" s="3" t="inlineStr">
        <is>
          <t>Tech Line</t>
        </is>
      </c>
      <c r="D136" s="3" t="inlineStr">
        <is>
          <t>イベント連携</t>
        </is>
      </c>
      <c r="E136" s="9" t="n">
        <v>46070</v>
      </c>
      <c r="F136" s="3" t="inlineStr">
        <is>
          <t>掲載候補 1</t>
        </is>
      </c>
    </row>
    <row r="137">
      <c r="A137" s="8" t="n">
        <v>136</v>
      </c>
      <c r="B137" s="8" t="n">
        <v>102</v>
      </c>
      <c r="C137" s="3" t="inlineStr">
        <is>
          <t>カルチャー通信</t>
        </is>
      </c>
      <c r="D137" s="3" t="inlineStr">
        <is>
          <t>Web連動企画</t>
        </is>
      </c>
      <c r="E137" s="9" t="n">
        <v>46067</v>
      </c>
      <c r="F137" s="3" t="inlineStr">
        <is>
          <t>掲載候補 2</t>
        </is>
      </c>
    </row>
    <row r="138">
      <c r="A138" s="8" t="n">
        <v>137</v>
      </c>
      <c r="B138" s="8" t="n">
        <v>103</v>
      </c>
      <c r="C138" s="3" t="inlineStr">
        <is>
          <t>生活スタイル</t>
        </is>
      </c>
      <c r="D138" s="3" t="inlineStr">
        <is>
          <t>Web連動企画</t>
        </is>
      </c>
      <c r="E138" s="9" t="n">
        <v>46071</v>
      </c>
      <c r="F138" s="3" t="inlineStr">
        <is>
          <t>掲載候補 1</t>
        </is>
      </c>
    </row>
    <row r="139">
      <c r="A139" s="8" t="n">
        <v>138</v>
      </c>
      <c r="B139" s="8" t="n">
        <v>104</v>
      </c>
      <c r="C139" s="3" t="inlineStr">
        <is>
          <t>カルチャー通信</t>
        </is>
      </c>
      <c r="D139" s="3" t="inlineStr">
        <is>
          <t>周年キャンペーン</t>
        </is>
      </c>
      <c r="E139" s="9" t="n">
        <v>46072</v>
      </c>
      <c r="F139" s="3" t="inlineStr">
        <is>
          <t>掲載候補 1</t>
        </is>
      </c>
    </row>
    <row r="140">
      <c r="A140" s="8" t="n">
        <v>139</v>
      </c>
      <c r="B140" s="8" t="n">
        <v>105</v>
      </c>
      <c r="C140" s="3" t="inlineStr">
        <is>
          <t>週刊PRESS</t>
        </is>
      </c>
      <c r="D140" s="3" t="inlineStr">
        <is>
          <t>春号特集</t>
        </is>
      </c>
      <c r="E140" s="9" t="n">
        <v>46073</v>
      </c>
      <c r="F140" s="3" t="inlineStr">
        <is>
          <t>掲載候補 1</t>
        </is>
      </c>
    </row>
    <row r="141">
      <c r="A141" s="8" t="n">
        <v>140</v>
      </c>
      <c r="B141" s="8" t="n">
        <v>105</v>
      </c>
      <c r="C141" s="3" t="inlineStr">
        <is>
          <t>ニュースWave</t>
        </is>
      </c>
      <c r="D141" s="3" t="inlineStr">
        <is>
          <t>新製品PR</t>
        </is>
      </c>
      <c r="E141" s="9" t="n">
        <v>46070</v>
      </c>
      <c r="F141" s="3" t="inlineStr">
        <is>
          <t>掲載候補 2</t>
        </is>
      </c>
    </row>
    <row r="142">
      <c r="A142" s="8" t="n">
        <v>141</v>
      </c>
      <c r="B142" s="8" t="n">
        <v>106</v>
      </c>
      <c r="C142" s="3" t="inlineStr">
        <is>
          <t>月刊メディア</t>
        </is>
      </c>
      <c r="D142" s="3" t="inlineStr">
        <is>
          <t>新製品PR</t>
        </is>
      </c>
      <c r="E142" s="9" t="n">
        <v>46074</v>
      </c>
      <c r="F142" s="3" t="inlineStr">
        <is>
          <t>掲載候補 1</t>
        </is>
      </c>
    </row>
    <row r="143">
      <c r="A143" s="8" t="n">
        <v>142</v>
      </c>
      <c r="B143" s="8" t="n">
        <v>107</v>
      </c>
      <c r="C143" s="3" t="inlineStr">
        <is>
          <t>ニュースWave</t>
        </is>
      </c>
      <c r="D143" s="3" t="inlineStr">
        <is>
          <t>ブランド刷新</t>
        </is>
      </c>
      <c r="E143" s="9" t="n">
        <v>46075</v>
      </c>
      <c r="F143" s="3" t="inlineStr">
        <is>
          <t>掲載候補 1</t>
        </is>
      </c>
    </row>
    <row r="144">
      <c r="A144" s="8" t="n">
        <v>143</v>
      </c>
      <c r="B144" s="8" t="n">
        <v>108</v>
      </c>
      <c r="C144" s="3" t="inlineStr">
        <is>
          <t>Biz Journal</t>
        </is>
      </c>
      <c r="D144" s="3" t="inlineStr">
        <is>
          <t>地域特集</t>
        </is>
      </c>
      <c r="E144" s="9" t="n">
        <v>46076</v>
      </c>
      <c r="F144" s="3" t="inlineStr">
        <is>
          <t>掲載候補 1</t>
        </is>
      </c>
    </row>
    <row r="145">
      <c r="A145" s="8" t="n">
        <v>144</v>
      </c>
      <c r="B145" s="8" t="n">
        <v>108</v>
      </c>
      <c r="C145" s="3" t="inlineStr">
        <is>
          <t>生活スタイル</t>
        </is>
      </c>
      <c r="D145" s="3" t="inlineStr">
        <is>
          <t>イベント連携</t>
        </is>
      </c>
      <c r="E145" s="9" t="n">
        <v>46073</v>
      </c>
      <c r="F145" s="3" t="inlineStr">
        <is>
          <t>掲載候補 2</t>
        </is>
      </c>
    </row>
    <row r="146">
      <c r="A146" s="8" t="n">
        <v>145</v>
      </c>
      <c r="B146" s="8" t="n">
        <v>109</v>
      </c>
      <c r="C146" s="3" t="inlineStr">
        <is>
          <t>Tech Line</t>
        </is>
      </c>
      <c r="D146" s="3" t="inlineStr">
        <is>
          <t>イベント連携</t>
        </is>
      </c>
      <c r="E146" s="9" t="n">
        <v>46077</v>
      </c>
      <c r="F146" s="3" t="inlineStr">
        <is>
          <t>掲載候補 1</t>
        </is>
      </c>
    </row>
    <row r="147">
      <c r="A147" s="8" t="n">
        <v>146</v>
      </c>
      <c r="B147" s="8" t="n">
        <v>110</v>
      </c>
      <c r="C147" s="3" t="inlineStr">
        <is>
          <t>生活スタイル</t>
        </is>
      </c>
      <c r="D147" s="3" t="inlineStr">
        <is>
          <t>Web連動企画</t>
        </is>
      </c>
      <c r="E147" s="9" t="n">
        <v>46078</v>
      </c>
      <c r="F147" s="3" t="inlineStr">
        <is>
          <t>掲載候補 1</t>
        </is>
      </c>
    </row>
    <row r="148">
      <c r="A148" s="8" t="n">
        <v>147</v>
      </c>
      <c r="B148" s="8" t="n">
        <v>111</v>
      </c>
      <c r="C148" s="3" t="inlineStr">
        <is>
          <t>カルチャー通信</t>
        </is>
      </c>
      <c r="D148" s="3" t="inlineStr">
        <is>
          <t>周年キャンペーン</t>
        </is>
      </c>
      <c r="E148" s="9" t="n">
        <v>46079</v>
      </c>
      <c r="F148" s="3" t="inlineStr">
        <is>
          <t>掲載候補 1</t>
        </is>
      </c>
    </row>
    <row r="149">
      <c r="A149" s="8" t="n">
        <v>148</v>
      </c>
      <c r="B149" s="8" t="n">
        <v>111</v>
      </c>
      <c r="C149" s="3" t="inlineStr">
        <is>
          <t>月刊メディア</t>
        </is>
      </c>
      <c r="D149" s="3" t="inlineStr">
        <is>
          <t>春号特集</t>
        </is>
      </c>
      <c r="E149" s="9" t="n">
        <v>46076</v>
      </c>
      <c r="F149" s="3" t="inlineStr">
        <is>
          <t>掲載候補 2</t>
        </is>
      </c>
    </row>
    <row r="150">
      <c r="A150" s="8" t="n">
        <v>149</v>
      </c>
      <c r="B150" s="8" t="n">
        <v>112</v>
      </c>
      <c r="C150" s="3" t="inlineStr">
        <is>
          <t>週刊PRESS</t>
        </is>
      </c>
      <c r="D150" s="3" t="inlineStr">
        <is>
          <t>春号特集</t>
        </is>
      </c>
      <c r="E150" s="9" t="n">
        <v>46080</v>
      </c>
      <c r="F150" s="3" t="inlineStr">
        <is>
          <t>掲載候補 1</t>
        </is>
      </c>
    </row>
    <row r="151">
      <c r="A151" s="8" t="n">
        <v>150</v>
      </c>
      <c r="B151" s="8" t="n">
        <v>113</v>
      </c>
      <c r="C151" s="3" t="inlineStr">
        <is>
          <t>月刊メディア</t>
        </is>
      </c>
      <c r="D151" s="3" t="inlineStr">
        <is>
          <t>新製品PR</t>
        </is>
      </c>
      <c r="E151" s="9" t="n">
        <v>46081</v>
      </c>
      <c r="F151" s="3" t="inlineStr">
        <is>
          <t>掲載候補 1</t>
        </is>
      </c>
    </row>
    <row r="152">
      <c r="A152" s="8" t="n">
        <v>151</v>
      </c>
      <c r="B152" s="8" t="n">
        <v>114</v>
      </c>
      <c r="C152" s="3" t="inlineStr">
        <is>
          <t>ニュースWave</t>
        </is>
      </c>
      <c r="D152" s="3" t="inlineStr">
        <is>
          <t>ブランド刷新</t>
        </is>
      </c>
      <c r="E152" s="9" t="n">
        <v>46082</v>
      </c>
      <c r="F152" s="3" t="inlineStr">
        <is>
          <t>掲載候補 1</t>
        </is>
      </c>
    </row>
    <row r="153">
      <c r="A153" s="8" t="n">
        <v>152</v>
      </c>
      <c r="B153" s="8" t="n">
        <v>114</v>
      </c>
      <c r="C153" s="3" t="inlineStr">
        <is>
          <t>Tech Line</t>
        </is>
      </c>
      <c r="D153" s="3" t="inlineStr">
        <is>
          <t>地域特集</t>
        </is>
      </c>
      <c r="E153" s="9" t="n">
        <v>46079</v>
      </c>
      <c r="F153" s="3" t="inlineStr">
        <is>
          <t>掲載候補 2</t>
        </is>
      </c>
    </row>
    <row r="154">
      <c r="A154" s="8" t="n">
        <v>153</v>
      </c>
      <c r="B154" s="8" t="n">
        <v>115</v>
      </c>
      <c r="C154" s="3" t="inlineStr">
        <is>
          <t>Biz Journal</t>
        </is>
      </c>
      <c r="D154" s="3" t="inlineStr">
        <is>
          <t>地域特集</t>
        </is>
      </c>
      <c r="E154" s="9" t="n">
        <v>46083</v>
      </c>
      <c r="F154" s="3" t="inlineStr">
        <is>
          <t>掲載候補 1</t>
        </is>
      </c>
    </row>
    <row r="155">
      <c r="A155" s="8" t="n">
        <v>154</v>
      </c>
      <c r="B155" s="8" t="n">
        <v>116</v>
      </c>
      <c r="C155" s="3" t="inlineStr">
        <is>
          <t>Tech Line</t>
        </is>
      </c>
      <c r="D155" s="3" t="inlineStr">
        <is>
          <t>イベント連携</t>
        </is>
      </c>
      <c r="E155" s="9" t="n">
        <v>46084</v>
      </c>
      <c r="F155" s="3" t="inlineStr">
        <is>
          <t>掲載候補 1</t>
        </is>
      </c>
    </row>
    <row r="156">
      <c r="A156" s="8" t="n">
        <v>155</v>
      </c>
      <c r="B156" s="8" t="n">
        <v>117</v>
      </c>
      <c r="C156" s="3" t="inlineStr">
        <is>
          <t>生活スタイル</t>
        </is>
      </c>
      <c r="D156" s="3" t="inlineStr">
        <is>
          <t>Web連動企画</t>
        </is>
      </c>
      <c r="E156" s="9" t="n">
        <v>46085</v>
      </c>
      <c r="F156" s="3" t="inlineStr">
        <is>
          <t>掲載候補 1</t>
        </is>
      </c>
    </row>
    <row r="157">
      <c r="A157" s="8" t="n">
        <v>156</v>
      </c>
      <c r="B157" s="8" t="n">
        <v>117</v>
      </c>
      <c r="C157" s="3" t="inlineStr">
        <is>
          <t>週刊PRESS</t>
        </is>
      </c>
      <c r="D157" s="3" t="inlineStr">
        <is>
          <t>周年キャンペーン</t>
        </is>
      </c>
      <c r="E157" s="9" t="n">
        <v>46112</v>
      </c>
      <c r="F157" s="3" t="inlineStr">
        <is>
          <t>掲載候補 2</t>
        </is>
      </c>
    </row>
    <row r="158">
      <c r="A158" s="8" t="n">
        <v>157</v>
      </c>
      <c r="B158" s="8" t="n">
        <v>118</v>
      </c>
      <c r="C158" s="3" t="inlineStr">
        <is>
          <t>カルチャー通信</t>
        </is>
      </c>
      <c r="D158" s="3" t="inlineStr">
        <is>
          <t>周年キャンペーン</t>
        </is>
      </c>
      <c r="E158" s="9" t="n">
        <v>46086</v>
      </c>
      <c r="F158" s="3" t="inlineStr">
        <is>
          <t>掲載候補 1</t>
        </is>
      </c>
    </row>
    <row r="159">
      <c r="A159" s="8" t="n">
        <v>158</v>
      </c>
      <c r="B159" s="8" t="n">
        <v>119</v>
      </c>
      <c r="C159" s="3" t="inlineStr">
        <is>
          <t>週刊PRESS</t>
        </is>
      </c>
      <c r="D159" s="3" t="inlineStr">
        <is>
          <t>春号特集</t>
        </is>
      </c>
      <c r="E159" s="9" t="n">
        <v>46087</v>
      </c>
      <c r="F159" s="3" t="inlineStr">
        <is>
          <t>掲載候補 1</t>
        </is>
      </c>
    </row>
    <row r="160">
      <c r="A160" s="8" t="n">
        <v>159</v>
      </c>
      <c r="B160" s="8" t="n">
        <v>120</v>
      </c>
      <c r="C160" s="3" t="inlineStr">
        <is>
          <t>月刊メディア</t>
        </is>
      </c>
      <c r="D160" s="3" t="inlineStr">
        <is>
          <t>新製品PR</t>
        </is>
      </c>
      <c r="E160" s="9" t="n">
        <v>46118</v>
      </c>
      <c r="F160" s="3" t="inlineStr">
        <is>
          <t>掲載候補 1</t>
        </is>
      </c>
    </row>
    <row r="161">
      <c r="A161" s="8" t="n">
        <v>160</v>
      </c>
      <c r="B161" s="8" t="n">
        <v>120</v>
      </c>
      <c r="C161" s="3" t="inlineStr">
        <is>
          <t>Biz Journal</t>
        </is>
      </c>
      <c r="D161" s="3" t="inlineStr">
        <is>
          <t>ブランド刷新</t>
        </is>
      </c>
      <c r="E161" s="9" t="n">
        <v>46115</v>
      </c>
      <c r="F161" s="3" t="inlineStr">
        <is>
          <t>掲載候補 2</t>
        </is>
      </c>
    </row>
    <row r="162">
      <c r="A162" s="8" t="n">
        <v>161</v>
      </c>
      <c r="B162" s="8" t="n">
        <v>121</v>
      </c>
      <c r="C162" s="3" t="inlineStr">
        <is>
          <t>ニュースWave</t>
        </is>
      </c>
      <c r="D162" s="3" t="inlineStr">
        <is>
          <t>ブランド刷新</t>
        </is>
      </c>
      <c r="E162" s="9" t="n">
        <v>46119</v>
      </c>
      <c r="F162" s="3" t="inlineStr">
        <is>
          <t>掲載候補 1</t>
        </is>
      </c>
    </row>
    <row r="163">
      <c r="A163" s="8" t="n">
        <v>162</v>
      </c>
      <c r="B163" s="8" t="n">
        <v>122</v>
      </c>
      <c r="C163" s="3" t="inlineStr">
        <is>
          <t>Biz Journal</t>
        </is>
      </c>
      <c r="D163" s="3" t="inlineStr">
        <is>
          <t>地域特集</t>
        </is>
      </c>
      <c r="E163" s="9" t="n">
        <v>46120</v>
      </c>
      <c r="F163" s="3" t="inlineStr">
        <is>
          <t>掲載候補 1</t>
        </is>
      </c>
    </row>
    <row r="164">
      <c r="A164" s="8" t="n">
        <v>163</v>
      </c>
      <c r="B164" s="8" t="n">
        <v>123</v>
      </c>
      <c r="C164" s="3" t="inlineStr">
        <is>
          <t>Tech Line</t>
        </is>
      </c>
      <c r="D164" s="3" t="inlineStr">
        <is>
          <t>イベント連携</t>
        </is>
      </c>
      <c r="E164" s="9" t="n">
        <v>46121</v>
      </c>
      <c r="F164" s="3" t="inlineStr">
        <is>
          <t>掲載候補 1</t>
        </is>
      </c>
    </row>
    <row r="165">
      <c r="A165" s="8" t="n">
        <v>164</v>
      </c>
      <c r="B165" s="8" t="n">
        <v>123</v>
      </c>
      <c r="C165" s="3" t="inlineStr">
        <is>
          <t>カルチャー通信</t>
        </is>
      </c>
      <c r="D165" s="3" t="inlineStr">
        <is>
          <t>Web連動企画</t>
        </is>
      </c>
      <c r="E165" s="9" t="n">
        <v>46118</v>
      </c>
      <c r="F165" s="3" t="inlineStr">
        <is>
          <t>掲載候補 2</t>
        </is>
      </c>
    </row>
    <row r="166">
      <c r="A166" s="8" t="n">
        <v>165</v>
      </c>
      <c r="B166" s="8" t="n">
        <v>124</v>
      </c>
      <c r="C166" s="3" t="inlineStr">
        <is>
          <t>生活スタイル</t>
        </is>
      </c>
      <c r="D166" s="3" t="inlineStr">
        <is>
          <t>Web連動企画</t>
        </is>
      </c>
      <c r="E166" s="9" t="n">
        <v>46122</v>
      </c>
      <c r="F166" s="3" t="inlineStr">
        <is>
          <t>掲載候補 1</t>
        </is>
      </c>
    </row>
    <row r="167">
      <c r="A167" s="8" t="n">
        <v>166</v>
      </c>
      <c r="B167" s="8" t="n">
        <v>125</v>
      </c>
      <c r="C167" s="3" t="inlineStr">
        <is>
          <t>カルチャー通信</t>
        </is>
      </c>
      <c r="D167" s="3" t="inlineStr">
        <is>
          <t>周年キャンペーン</t>
        </is>
      </c>
      <c r="E167" s="9" t="n">
        <v>46123</v>
      </c>
      <c r="F167" s="3" t="inlineStr">
        <is>
          <t>掲載候補 1</t>
        </is>
      </c>
    </row>
    <row r="168">
      <c r="A168" s="8" t="n">
        <v>167</v>
      </c>
      <c r="B168" s="8" t="n">
        <v>126</v>
      </c>
      <c r="C168" s="3" t="inlineStr">
        <is>
          <t>週刊PRESS</t>
        </is>
      </c>
      <c r="D168" s="3" t="inlineStr">
        <is>
          <t>春号特集</t>
        </is>
      </c>
      <c r="E168" s="9" t="n">
        <v>46124</v>
      </c>
      <c r="F168" s="3" t="inlineStr">
        <is>
          <t>掲載候補 1</t>
        </is>
      </c>
    </row>
    <row r="169">
      <c r="A169" s="8" t="n">
        <v>168</v>
      </c>
      <c r="B169" s="8" t="n">
        <v>126</v>
      </c>
      <c r="C169" s="3" t="inlineStr">
        <is>
          <t>ニュースWave</t>
        </is>
      </c>
      <c r="D169" s="3" t="inlineStr">
        <is>
          <t>新製品PR</t>
        </is>
      </c>
      <c r="E169" s="9" t="n">
        <v>46121</v>
      </c>
      <c r="F169" s="3" t="inlineStr">
        <is>
          <t>掲載候補 2</t>
        </is>
      </c>
    </row>
    <row r="170">
      <c r="A170" s="8" t="n">
        <v>169</v>
      </c>
      <c r="B170" s="8" t="n">
        <v>127</v>
      </c>
      <c r="C170" s="3" t="inlineStr">
        <is>
          <t>月刊メディア</t>
        </is>
      </c>
      <c r="D170" s="3" t="inlineStr">
        <is>
          <t>新製品PR</t>
        </is>
      </c>
      <c r="E170" s="9" t="n">
        <v>46125</v>
      </c>
      <c r="F170" s="3" t="inlineStr">
        <is>
          <t>掲載候補 1</t>
        </is>
      </c>
    </row>
    <row r="171">
      <c r="A171" s="8" t="n">
        <v>170</v>
      </c>
      <c r="B171" s="8" t="n">
        <v>128</v>
      </c>
      <c r="C171" s="3" t="inlineStr">
        <is>
          <t>ニュースWave</t>
        </is>
      </c>
      <c r="D171" s="3" t="inlineStr">
        <is>
          <t>ブランド刷新</t>
        </is>
      </c>
      <c r="E171" s="9" t="n">
        <v>46126</v>
      </c>
      <c r="F171" s="3" t="inlineStr">
        <is>
          <t>掲載候補 1</t>
        </is>
      </c>
    </row>
    <row r="172">
      <c r="A172" s="8" t="n">
        <v>171</v>
      </c>
      <c r="B172" s="8" t="n">
        <v>129</v>
      </c>
      <c r="C172" s="3" t="inlineStr">
        <is>
          <t>Biz Journal</t>
        </is>
      </c>
      <c r="D172" s="3" t="inlineStr">
        <is>
          <t>地域特集</t>
        </is>
      </c>
      <c r="E172" s="9" t="n">
        <v>46127</v>
      </c>
      <c r="F172" s="3" t="inlineStr">
        <is>
          <t>掲載候補 1</t>
        </is>
      </c>
    </row>
    <row r="173">
      <c r="A173" s="8" t="n">
        <v>172</v>
      </c>
      <c r="B173" s="8" t="n">
        <v>129</v>
      </c>
      <c r="C173" s="3" t="inlineStr">
        <is>
          <t>生活スタイル</t>
        </is>
      </c>
      <c r="D173" s="3" t="inlineStr">
        <is>
          <t>イベント連携</t>
        </is>
      </c>
      <c r="E173" s="9" t="n">
        <v>46124</v>
      </c>
      <c r="F173" s="3" t="inlineStr">
        <is>
          <t>掲載候補 2</t>
        </is>
      </c>
    </row>
    <row r="174">
      <c r="A174" s="8" t="n">
        <v>173</v>
      </c>
      <c r="B174" s="8" t="n">
        <v>130</v>
      </c>
      <c r="C174" s="3" t="inlineStr">
        <is>
          <t>Tech Line</t>
        </is>
      </c>
      <c r="D174" s="3" t="inlineStr">
        <is>
          <t>イベント連携</t>
        </is>
      </c>
      <c r="E174" s="9" t="n">
        <v>46128</v>
      </c>
      <c r="F174" s="3" t="inlineStr">
        <is>
          <t>掲載候補 1</t>
        </is>
      </c>
    </row>
    <row r="175">
      <c r="A175" s="8" t="n">
        <v>174</v>
      </c>
      <c r="B175" s="8" t="n">
        <v>131</v>
      </c>
      <c r="C175" s="3" t="inlineStr">
        <is>
          <t>生活スタイル</t>
        </is>
      </c>
      <c r="D175" s="3" t="inlineStr">
        <is>
          <t>Web連動企画</t>
        </is>
      </c>
      <c r="E175" s="9" t="n">
        <v>46129</v>
      </c>
      <c r="F175" s="3" t="inlineStr">
        <is>
          <t>掲載候補 1</t>
        </is>
      </c>
    </row>
    <row r="176">
      <c r="A176" s="8" t="n">
        <v>175</v>
      </c>
      <c r="B176" s="8" t="n">
        <v>132</v>
      </c>
      <c r="C176" s="3" t="inlineStr">
        <is>
          <t>カルチャー通信</t>
        </is>
      </c>
      <c r="D176" s="3" t="inlineStr">
        <is>
          <t>周年キャンペーン</t>
        </is>
      </c>
      <c r="E176" s="9" t="n">
        <v>46130</v>
      </c>
      <c r="F176" s="3" t="inlineStr">
        <is>
          <t>掲載候補 1</t>
        </is>
      </c>
    </row>
    <row r="177">
      <c r="A177" s="8" t="n">
        <v>176</v>
      </c>
      <c r="B177" s="8" t="n">
        <v>132</v>
      </c>
      <c r="C177" s="3" t="inlineStr">
        <is>
          <t>月刊メディア</t>
        </is>
      </c>
      <c r="D177" s="3" t="inlineStr">
        <is>
          <t>春号特集</t>
        </is>
      </c>
      <c r="E177" s="9" t="n">
        <v>46127</v>
      </c>
      <c r="F177" s="3" t="inlineStr">
        <is>
          <t>掲載候補 2</t>
        </is>
      </c>
    </row>
    <row r="178">
      <c r="A178" s="8" t="n">
        <v>177</v>
      </c>
      <c r="B178" s="8" t="n">
        <v>133</v>
      </c>
      <c r="C178" s="3" t="inlineStr">
        <is>
          <t>週刊PRESS</t>
        </is>
      </c>
      <c r="D178" s="3" t="inlineStr">
        <is>
          <t>春号特集</t>
        </is>
      </c>
      <c r="E178" s="9" t="n">
        <v>46131</v>
      </c>
      <c r="F178" s="3" t="inlineStr">
        <is>
          <t>掲載候補 1</t>
        </is>
      </c>
    </row>
    <row r="179">
      <c r="A179" s="8" t="n">
        <v>178</v>
      </c>
      <c r="B179" s="8" t="n">
        <v>134</v>
      </c>
      <c r="C179" s="3" t="inlineStr">
        <is>
          <t>月刊メディア</t>
        </is>
      </c>
      <c r="D179" s="3" t="inlineStr">
        <is>
          <t>新製品PR</t>
        </is>
      </c>
      <c r="E179" s="9" t="n">
        <v>46132</v>
      </c>
      <c r="F179" s="3" t="inlineStr">
        <is>
          <t>掲載候補 1</t>
        </is>
      </c>
    </row>
    <row r="180">
      <c r="A180" s="8" t="n">
        <v>179</v>
      </c>
      <c r="B180" s="8" t="n">
        <v>135</v>
      </c>
      <c r="C180" s="3" t="inlineStr">
        <is>
          <t>ニュースWave</t>
        </is>
      </c>
      <c r="D180" s="3" t="inlineStr">
        <is>
          <t>ブランド刷新</t>
        </is>
      </c>
      <c r="E180" s="9" t="n">
        <v>46133</v>
      </c>
      <c r="F180" s="3" t="inlineStr">
        <is>
          <t>掲載候補 1</t>
        </is>
      </c>
    </row>
    <row r="181">
      <c r="A181" s="8" t="n">
        <v>180</v>
      </c>
      <c r="B181" s="8" t="n">
        <v>135</v>
      </c>
      <c r="C181" s="3" t="inlineStr">
        <is>
          <t>Tech Line</t>
        </is>
      </c>
      <c r="D181" s="3" t="inlineStr">
        <is>
          <t>地域特集</t>
        </is>
      </c>
      <c r="E181" s="9" t="n">
        <v>46130</v>
      </c>
      <c r="F181" s="3" t="inlineStr">
        <is>
          <t>掲載候補 2</t>
        </is>
      </c>
    </row>
    <row r="182">
      <c r="A182" s="8" t="n">
        <v>181</v>
      </c>
      <c r="B182" s="8" t="n">
        <v>136</v>
      </c>
      <c r="C182" s="3" t="inlineStr">
        <is>
          <t>Biz Journal</t>
        </is>
      </c>
      <c r="D182" s="3" t="inlineStr">
        <is>
          <t>地域特集</t>
        </is>
      </c>
      <c r="E182" s="9" t="n">
        <v>46134</v>
      </c>
      <c r="F182" s="3" t="inlineStr">
        <is>
          <t>掲載候補 1</t>
        </is>
      </c>
    </row>
    <row r="183">
      <c r="A183" s="8" t="n">
        <v>182</v>
      </c>
      <c r="B183" s="8" t="n">
        <v>137</v>
      </c>
      <c r="C183" s="3" t="inlineStr">
        <is>
          <t>Tech Line</t>
        </is>
      </c>
      <c r="D183" s="3" t="inlineStr">
        <is>
          <t>イベント連携</t>
        </is>
      </c>
      <c r="E183" s="9" t="n">
        <v>46135</v>
      </c>
      <c r="F183" s="3" t="inlineStr">
        <is>
          <t>掲載候補 1</t>
        </is>
      </c>
    </row>
    <row r="184">
      <c r="A184" s="8" t="n">
        <v>183</v>
      </c>
      <c r="B184" s="8" t="n">
        <v>138</v>
      </c>
      <c r="C184" s="3" t="inlineStr">
        <is>
          <t>生活スタイル</t>
        </is>
      </c>
      <c r="D184" s="3" t="inlineStr">
        <is>
          <t>Web連動企画</t>
        </is>
      </c>
      <c r="E184" s="9" t="n">
        <v>46136</v>
      </c>
      <c r="F184" s="3" t="inlineStr">
        <is>
          <t>掲載候補 1</t>
        </is>
      </c>
    </row>
    <row r="185">
      <c r="A185" s="8" t="n">
        <v>184</v>
      </c>
      <c r="B185" s="8" t="n">
        <v>138</v>
      </c>
      <c r="C185" s="3" t="inlineStr">
        <is>
          <t>週刊PRESS</t>
        </is>
      </c>
      <c r="D185" s="3" t="inlineStr">
        <is>
          <t>周年キャンペーン</t>
        </is>
      </c>
      <c r="E185" s="9" t="n">
        <v>46133</v>
      </c>
      <c r="F185" s="3" t="inlineStr">
        <is>
          <t>掲載候補 2</t>
        </is>
      </c>
    </row>
    <row r="186">
      <c r="A186" s="8" t="n">
        <v>185</v>
      </c>
      <c r="B186" s="8" t="n">
        <v>139</v>
      </c>
      <c r="C186" s="3" t="inlineStr">
        <is>
          <t>カルチャー通信</t>
        </is>
      </c>
      <c r="D186" s="3" t="inlineStr">
        <is>
          <t>周年キャンペーン</t>
        </is>
      </c>
      <c r="E186" s="9" t="n">
        <v>46137</v>
      </c>
      <c r="F186" s="3" t="inlineStr">
        <is>
          <t>掲載候補 1</t>
        </is>
      </c>
    </row>
    <row r="187">
      <c r="A187" s="8" t="n">
        <v>186</v>
      </c>
      <c r="B187" s="8" t="n">
        <v>140</v>
      </c>
      <c r="C187" s="3" t="inlineStr">
        <is>
          <t>週刊PRESS</t>
        </is>
      </c>
      <c r="D187" s="3" t="inlineStr">
        <is>
          <t>春号特集</t>
        </is>
      </c>
      <c r="E187" s="9" t="n">
        <v>46138</v>
      </c>
      <c r="F187" s="3" t="inlineStr">
        <is>
          <t>掲載候補 1</t>
        </is>
      </c>
    </row>
    <row r="188">
      <c r="A188" s="8" t="n">
        <v>187</v>
      </c>
      <c r="B188" s="8" t="n">
        <v>141</v>
      </c>
      <c r="C188" s="3" t="inlineStr">
        <is>
          <t>月刊メディア</t>
        </is>
      </c>
      <c r="D188" s="3" t="inlineStr">
        <is>
          <t>新製品PR</t>
        </is>
      </c>
      <c r="E188" s="9" t="n">
        <v>46139</v>
      </c>
      <c r="F188" s="3" t="inlineStr">
        <is>
          <t>掲載候補 1</t>
        </is>
      </c>
    </row>
    <row r="189">
      <c r="A189" s="8" t="n">
        <v>188</v>
      </c>
      <c r="B189" s="8" t="n">
        <v>141</v>
      </c>
      <c r="C189" s="3" t="inlineStr">
        <is>
          <t>Biz Journal</t>
        </is>
      </c>
      <c r="D189" s="3" t="inlineStr">
        <is>
          <t>ブランド刷新</t>
        </is>
      </c>
      <c r="E189" s="9" t="n">
        <v>46136</v>
      </c>
      <c r="F189" s="3" t="inlineStr">
        <is>
          <t>掲載候補 2</t>
        </is>
      </c>
    </row>
    <row r="190">
      <c r="A190" s="8" t="n">
        <v>189</v>
      </c>
      <c r="B190" s="8" t="n">
        <v>142</v>
      </c>
      <c r="C190" s="3" t="inlineStr">
        <is>
          <t>ニュースWave</t>
        </is>
      </c>
      <c r="D190" s="3" t="inlineStr">
        <is>
          <t>ブランド刷新</t>
        </is>
      </c>
      <c r="E190" s="9" t="n">
        <v>46140</v>
      </c>
      <c r="F190" s="3" t="inlineStr">
        <is>
          <t>掲載候補 1</t>
        </is>
      </c>
    </row>
    <row r="191">
      <c r="A191" s="8" t="n">
        <v>190</v>
      </c>
      <c r="B191" s="8" t="n">
        <v>143</v>
      </c>
      <c r="C191" s="3" t="inlineStr">
        <is>
          <t>Biz Journal</t>
        </is>
      </c>
      <c r="D191" s="3" t="inlineStr">
        <is>
          <t>地域特集</t>
        </is>
      </c>
      <c r="E191" s="9" t="n">
        <v>46141</v>
      </c>
      <c r="F191" s="3" t="inlineStr">
        <is>
          <t>掲載候補 1</t>
        </is>
      </c>
    </row>
    <row r="192">
      <c r="A192" s="8" t="n">
        <v>191</v>
      </c>
      <c r="B192" s="8" t="n">
        <v>144</v>
      </c>
      <c r="C192" s="3" t="inlineStr">
        <is>
          <t>Tech Line</t>
        </is>
      </c>
      <c r="D192" s="3" t="inlineStr">
        <is>
          <t>イベント連携</t>
        </is>
      </c>
      <c r="E192" s="9" t="n">
        <v>46142</v>
      </c>
      <c r="F192" s="3" t="inlineStr">
        <is>
          <t>掲載候補 1</t>
        </is>
      </c>
    </row>
    <row r="193">
      <c r="A193" s="8" t="n">
        <v>192</v>
      </c>
      <c r="B193" s="8" t="n">
        <v>144</v>
      </c>
      <c r="C193" s="3" t="inlineStr">
        <is>
          <t>カルチャー通信</t>
        </is>
      </c>
      <c r="D193" s="3" t="inlineStr">
        <is>
          <t>Web連動企画</t>
        </is>
      </c>
      <c r="E193" s="9" t="n">
        <v>46139</v>
      </c>
      <c r="F193" s="3" t="inlineStr">
        <is>
          <t>掲載候補 2</t>
        </is>
      </c>
    </row>
    <row r="194">
      <c r="A194" s="8" t="n">
        <v>193</v>
      </c>
      <c r="B194" s="8" t="n">
        <v>145</v>
      </c>
      <c r="C194" s="3" t="inlineStr">
        <is>
          <t>生活スタイル</t>
        </is>
      </c>
      <c r="D194" s="3" t="inlineStr">
        <is>
          <t>Web連動企画</t>
        </is>
      </c>
      <c r="E194" s="9" t="n">
        <v>46143</v>
      </c>
      <c r="F194" s="3" t="inlineStr">
        <is>
          <t>掲載候補 1</t>
        </is>
      </c>
    </row>
    <row r="195">
      <c r="A195" s="8" t="n">
        <v>194</v>
      </c>
      <c r="B195" s="8" t="n">
        <v>146</v>
      </c>
      <c r="C195" s="3" t="inlineStr">
        <is>
          <t>カルチャー通信</t>
        </is>
      </c>
      <c r="D195" s="3" t="inlineStr">
        <is>
          <t>周年キャンペーン</t>
        </is>
      </c>
      <c r="E195" s="9" t="n">
        <v>46144</v>
      </c>
      <c r="F195" s="3" t="inlineStr">
        <is>
          <t>掲載候補 1</t>
        </is>
      </c>
    </row>
    <row r="196">
      <c r="A196" s="8" t="n">
        <v>195</v>
      </c>
      <c r="B196" s="8" t="n">
        <v>147</v>
      </c>
      <c r="C196" s="3" t="inlineStr">
        <is>
          <t>週刊PRESS</t>
        </is>
      </c>
      <c r="D196" s="3" t="inlineStr">
        <is>
          <t>春号特集</t>
        </is>
      </c>
      <c r="E196" s="9" t="n">
        <v>46145</v>
      </c>
      <c r="F196" s="3" t="inlineStr">
        <is>
          <t>掲載候補 1</t>
        </is>
      </c>
    </row>
    <row r="197">
      <c r="A197" s="8" t="n">
        <v>196</v>
      </c>
      <c r="B197" s="8" t="n">
        <v>147</v>
      </c>
      <c r="C197" s="3" t="inlineStr">
        <is>
          <t>ニュースWave</t>
        </is>
      </c>
      <c r="D197" s="3" t="inlineStr">
        <is>
          <t>新製品PR</t>
        </is>
      </c>
      <c r="E197" s="9" t="n">
        <v>46172</v>
      </c>
      <c r="F197" s="3" t="inlineStr">
        <is>
          <t>掲載候補 2</t>
        </is>
      </c>
    </row>
    <row r="198">
      <c r="A198" s="8" t="n">
        <v>197</v>
      </c>
      <c r="B198" s="8" t="n">
        <v>148</v>
      </c>
      <c r="C198" s="3" t="inlineStr">
        <is>
          <t>月刊メディア</t>
        </is>
      </c>
      <c r="D198" s="3" t="inlineStr">
        <is>
          <t>新製品PR</t>
        </is>
      </c>
      <c r="E198" s="9" t="n">
        <v>46146</v>
      </c>
      <c r="F198" s="3" t="inlineStr">
        <is>
          <t>掲載候補 1</t>
        </is>
      </c>
    </row>
    <row r="199">
      <c r="A199" s="8" t="n">
        <v>198</v>
      </c>
      <c r="B199" s="8" t="n">
        <v>149</v>
      </c>
      <c r="C199" s="3" t="inlineStr">
        <is>
          <t>ニュースWave</t>
        </is>
      </c>
      <c r="D199" s="3" t="inlineStr">
        <is>
          <t>ブランド刷新</t>
        </is>
      </c>
      <c r="E199" s="9" t="n">
        <v>46147</v>
      </c>
      <c r="F199" s="3" t="inlineStr">
        <is>
          <t>掲載候補 1</t>
        </is>
      </c>
    </row>
    <row r="200">
      <c r="A200" s="8" t="n">
        <v>199</v>
      </c>
      <c r="B200" s="8" t="n">
        <v>150</v>
      </c>
      <c r="C200" s="3" t="inlineStr">
        <is>
          <t>Biz Journal</t>
        </is>
      </c>
      <c r="D200" s="3" t="inlineStr">
        <is>
          <t>地域特集</t>
        </is>
      </c>
      <c r="E200" s="9" t="n">
        <v>46028</v>
      </c>
      <c r="F200" s="3" t="inlineStr">
        <is>
          <t>掲載候補 1</t>
        </is>
      </c>
    </row>
    <row r="201">
      <c r="A201" s="8" t="n">
        <v>200</v>
      </c>
      <c r="B201" s="8" t="n">
        <v>150</v>
      </c>
      <c r="C201" s="3" t="inlineStr">
        <is>
          <t>生活スタイル</t>
        </is>
      </c>
      <c r="D201" s="3" t="inlineStr">
        <is>
          <t>イベント連携</t>
        </is>
      </c>
      <c r="E201" s="9" t="n">
        <v>46025</v>
      </c>
      <c r="F201" s="3" t="inlineStr">
        <is>
          <t>掲載候補 2</t>
        </is>
      </c>
    </row>
    <row r="202">
      <c r="A202" s="8" t="n">
        <v>201</v>
      </c>
      <c r="B202" s="8" t="n">
        <v>151</v>
      </c>
      <c r="C202" s="3" t="inlineStr">
        <is>
          <t>Tech Line</t>
        </is>
      </c>
      <c r="D202" s="3" t="inlineStr">
        <is>
          <t>イベント連携</t>
        </is>
      </c>
      <c r="E202" s="9" t="n">
        <v>46029</v>
      </c>
      <c r="F202" s="3" t="inlineStr">
        <is>
          <t>掲載候補 1</t>
        </is>
      </c>
    </row>
    <row r="203">
      <c r="A203" s="8" t="n">
        <v>202</v>
      </c>
      <c r="B203" s="8" t="n">
        <v>152</v>
      </c>
      <c r="C203" s="3" t="inlineStr">
        <is>
          <t>生活スタイル</t>
        </is>
      </c>
      <c r="D203" s="3" t="inlineStr">
        <is>
          <t>Web連動企画</t>
        </is>
      </c>
      <c r="E203" s="9" t="n">
        <v>46030</v>
      </c>
      <c r="F203" s="3" t="inlineStr">
        <is>
          <t>掲載候補 1</t>
        </is>
      </c>
    </row>
    <row r="204">
      <c r="A204" s="8" t="n">
        <v>203</v>
      </c>
      <c r="B204" s="8" t="n">
        <v>153</v>
      </c>
      <c r="C204" s="3" t="inlineStr">
        <is>
          <t>カルチャー通信</t>
        </is>
      </c>
      <c r="D204" s="3" t="inlineStr">
        <is>
          <t>周年キャンペーン</t>
        </is>
      </c>
      <c r="E204" s="9" t="n">
        <v>46031</v>
      </c>
      <c r="F204" s="3" t="inlineStr">
        <is>
          <t>掲載候補 1</t>
        </is>
      </c>
    </row>
    <row r="205">
      <c r="A205" s="8" t="n">
        <v>204</v>
      </c>
      <c r="B205" s="8" t="n">
        <v>153</v>
      </c>
      <c r="C205" s="3" t="inlineStr">
        <is>
          <t>月刊メディア</t>
        </is>
      </c>
      <c r="D205" s="3" t="inlineStr">
        <is>
          <t>春号特集</t>
        </is>
      </c>
      <c r="E205" s="9" t="n">
        <v>46028</v>
      </c>
      <c r="F205" s="3" t="inlineStr">
        <is>
          <t>掲載候補 2</t>
        </is>
      </c>
    </row>
    <row r="206">
      <c r="A206" s="8" t="n">
        <v>205</v>
      </c>
      <c r="B206" s="8" t="n">
        <v>154</v>
      </c>
      <c r="C206" s="3" t="inlineStr">
        <is>
          <t>週刊PRESS</t>
        </is>
      </c>
      <c r="D206" s="3" t="inlineStr">
        <is>
          <t>春号特集</t>
        </is>
      </c>
      <c r="E206" s="9" t="n">
        <v>46032</v>
      </c>
      <c r="F206" s="3" t="inlineStr">
        <is>
          <t>掲載候補 1</t>
        </is>
      </c>
    </row>
    <row r="207">
      <c r="A207" s="8" t="n">
        <v>206</v>
      </c>
      <c r="B207" s="8" t="n">
        <v>155</v>
      </c>
      <c r="C207" s="3" t="inlineStr">
        <is>
          <t>月刊メディア</t>
        </is>
      </c>
      <c r="D207" s="3" t="inlineStr">
        <is>
          <t>新製品PR</t>
        </is>
      </c>
      <c r="E207" s="9" t="n">
        <v>46033</v>
      </c>
      <c r="F207" s="3" t="inlineStr">
        <is>
          <t>掲載候補 1</t>
        </is>
      </c>
    </row>
    <row r="208">
      <c r="A208" s="8" t="n">
        <v>207</v>
      </c>
      <c r="B208" s="8" t="n">
        <v>156</v>
      </c>
      <c r="C208" s="3" t="inlineStr">
        <is>
          <t>ニュースWave</t>
        </is>
      </c>
      <c r="D208" s="3" t="inlineStr">
        <is>
          <t>ブランド刷新</t>
        </is>
      </c>
      <c r="E208" s="9" t="n">
        <v>46034</v>
      </c>
      <c r="F208" s="3" t="inlineStr">
        <is>
          <t>掲載候補 1</t>
        </is>
      </c>
    </row>
    <row r="209">
      <c r="A209" s="8" t="n">
        <v>208</v>
      </c>
      <c r="B209" s="8" t="n">
        <v>156</v>
      </c>
      <c r="C209" s="3" t="inlineStr">
        <is>
          <t>Tech Line</t>
        </is>
      </c>
      <c r="D209" s="3" t="inlineStr">
        <is>
          <t>地域特集</t>
        </is>
      </c>
      <c r="E209" s="9" t="n">
        <v>46031</v>
      </c>
      <c r="F209" s="3" t="inlineStr">
        <is>
          <t>掲載候補 2</t>
        </is>
      </c>
    </row>
    <row r="210">
      <c r="A210" s="8" t="n">
        <v>209</v>
      </c>
      <c r="B210" s="8" t="n">
        <v>157</v>
      </c>
      <c r="C210" s="3" t="inlineStr">
        <is>
          <t>Biz Journal</t>
        </is>
      </c>
      <c r="D210" s="3" t="inlineStr">
        <is>
          <t>地域特集</t>
        </is>
      </c>
      <c r="E210" s="9" t="n">
        <v>46035</v>
      </c>
      <c r="F210" s="3" t="inlineStr">
        <is>
          <t>掲載候補 1</t>
        </is>
      </c>
    </row>
    <row r="211">
      <c r="A211" s="8" t="n">
        <v>210</v>
      </c>
      <c r="B211" s="8" t="n">
        <v>158</v>
      </c>
      <c r="C211" s="3" t="inlineStr">
        <is>
          <t>Tech Line</t>
        </is>
      </c>
      <c r="D211" s="3" t="inlineStr">
        <is>
          <t>イベント連携</t>
        </is>
      </c>
      <c r="E211" s="9" t="n">
        <v>46036</v>
      </c>
      <c r="F211" s="3" t="inlineStr">
        <is>
          <t>掲載候補 1</t>
        </is>
      </c>
    </row>
    <row r="212">
      <c r="A212" s="8" t="n">
        <v>211</v>
      </c>
      <c r="B212" s="8" t="n">
        <v>159</v>
      </c>
      <c r="C212" s="3" t="inlineStr">
        <is>
          <t>生活スタイル</t>
        </is>
      </c>
      <c r="D212" s="3" t="inlineStr">
        <is>
          <t>Web連動企画</t>
        </is>
      </c>
      <c r="E212" s="9" t="n">
        <v>46037</v>
      </c>
      <c r="F212" s="3" t="inlineStr">
        <is>
          <t>掲載候補 1</t>
        </is>
      </c>
    </row>
    <row r="213">
      <c r="A213" s="8" t="n">
        <v>212</v>
      </c>
      <c r="B213" s="8" t="n">
        <v>159</v>
      </c>
      <c r="C213" s="3" t="inlineStr">
        <is>
          <t>週刊PRESS</t>
        </is>
      </c>
      <c r="D213" s="3" t="inlineStr">
        <is>
          <t>周年キャンペーン</t>
        </is>
      </c>
      <c r="E213" s="9" t="n">
        <v>46034</v>
      </c>
      <c r="F213" s="3" t="inlineStr">
        <is>
          <t>掲載候補 2</t>
        </is>
      </c>
    </row>
    <row r="214">
      <c r="A214" s="8" t="n">
        <v>213</v>
      </c>
      <c r="B214" s="8" t="n">
        <v>160</v>
      </c>
      <c r="C214" s="3" t="inlineStr">
        <is>
          <t>カルチャー通信</t>
        </is>
      </c>
      <c r="D214" s="3" t="inlineStr">
        <is>
          <t>周年キャンペーン</t>
        </is>
      </c>
      <c r="E214" s="9" t="n">
        <v>46038</v>
      </c>
      <c r="F214" s="3" t="inlineStr">
        <is>
          <t>掲載候補 1</t>
        </is>
      </c>
    </row>
    <row r="215">
      <c r="A215" s="8" t="n">
        <v>214</v>
      </c>
      <c r="B215" s="8" t="n">
        <v>161</v>
      </c>
      <c r="C215" s="3" t="inlineStr">
        <is>
          <t>週刊PRESS</t>
        </is>
      </c>
      <c r="D215" s="3" t="inlineStr">
        <is>
          <t>春号特集</t>
        </is>
      </c>
      <c r="E215" s="9" t="n">
        <v>46039</v>
      </c>
      <c r="F215" s="3" t="inlineStr">
        <is>
          <t>掲載候補 1</t>
        </is>
      </c>
    </row>
    <row r="216">
      <c r="A216" s="8" t="n">
        <v>215</v>
      </c>
      <c r="B216" s="8" t="n">
        <v>162</v>
      </c>
      <c r="C216" s="3" t="inlineStr">
        <is>
          <t>月刊メディア</t>
        </is>
      </c>
      <c r="D216" s="3" t="inlineStr">
        <is>
          <t>新製品PR</t>
        </is>
      </c>
      <c r="E216" s="9" t="n">
        <v>46040</v>
      </c>
      <c r="F216" s="3" t="inlineStr">
        <is>
          <t>掲載候補 1</t>
        </is>
      </c>
    </row>
    <row r="217">
      <c r="A217" s="8" t="n">
        <v>216</v>
      </c>
      <c r="B217" s="8" t="n">
        <v>162</v>
      </c>
      <c r="C217" s="3" t="inlineStr">
        <is>
          <t>Biz Journal</t>
        </is>
      </c>
      <c r="D217" s="3" t="inlineStr">
        <is>
          <t>ブランド刷新</t>
        </is>
      </c>
      <c r="E217" s="9" t="n">
        <v>46037</v>
      </c>
      <c r="F217" s="3" t="inlineStr">
        <is>
          <t>掲載候補 2</t>
        </is>
      </c>
    </row>
    <row r="218">
      <c r="A218" s="8" t="n">
        <v>217</v>
      </c>
      <c r="B218" s="8" t="n">
        <v>163</v>
      </c>
      <c r="C218" s="3" t="inlineStr">
        <is>
          <t>ニュースWave</t>
        </is>
      </c>
      <c r="D218" s="3" t="inlineStr">
        <is>
          <t>ブランド刷新</t>
        </is>
      </c>
      <c r="E218" s="9" t="n">
        <v>46041</v>
      </c>
      <c r="F218" s="3" t="inlineStr">
        <is>
          <t>掲載候補 1</t>
        </is>
      </c>
    </row>
    <row r="219">
      <c r="A219" s="8" t="n">
        <v>218</v>
      </c>
      <c r="B219" s="8" t="n">
        <v>164</v>
      </c>
      <c r="C219" s="3" t="inlineStr">
        <is>
          <t>Biz Journal</t>
        </is>
      </c>
      <c r="D219" s="3" t="inlineStr">
        <is>
          <t>地域特集</t>
        </is>
      </c>
      <c r="E219" s="9" t="n">
        <v>46042</v>
      </c>
      <c r="F219" s="3" t="inlineStr">
        <is>
          <t>掲載候補 1</t>
        </is>
      </c>
    </row>
    <row r="220">
      <c r="A220" s="8" t="n">
        <v>219</v>
      </c>
      <c r="B220" s="8" t="n">
        <v>165</v>
      </c>
      <c r="C220" s="3" t="inlineStr">
        <is>
          <t>Tech Line</t>
        </is>
      </c>
      <c r="D220" s="3" t="inlineStr">
        <is>
          <t>イベント連携</t>
        </is>
      </c>
      <c r="E220" s="9" t="n">
        <v>46043</v>
      </c>
      <c r="F220" s="3" t="inlineStr">
        <is>
          <t>掲載候補 1</t>
        </is>
      </c>
    </row>
    <row r="221">
      <c r="A221" s="8" t="n">
        <v>220</v>
      </c>
      <c r="B221" s="8" t="n">
        <v>165</v>
      </c>
      <c r="C221" s="3" t="inlineStr">
        <is>
          <t>カルチャー通信</t>
        </is>
      </c>
      <c r="D221" s="3" t="inlineStr">
        <is>
          <t>Web連動企画</t>
        </is>
      </c>
      <c r="E221" s="9" t="n">
        <v>46040</v>
      </c>
      <c r="F221" s="3" t="inlineStr">
        <is>
          <t>掲載候補 2</t>
        </is>
      </c>
    </row>
    <row r="222">
      <c r="A222" s="8" t="n">
        <v>221</v>
      </c>
      <c r="B222" s="8" t="n">
        <v>166</v>
      </c>
      <c r="C222" s="3" t="inlineStr">
        <is>
          <t>生活スタイル</t>
        </is>
      </c>
      <c r="D222" s="3" t="inlineStr">
        <is>
          <t>Web連動企画</t>
        </is>
      </c>
      <c r="E222" s="9" t="n">
        <v>46044</v>
      </c>
      <c r="F222" s="3" t="inlineStr">
        <is>
          <t>掲載候補 1</t>
        </is>
      </c>
    </row>
    <row r="223">
      <c r="A223" s="8" t="n">
        <v>222</v>
      </c>
      <c r="B223" s="8" t="n">
        <v>167</v>
      </c>
      <c r="C223" s="3" t="inlineStr">
        <is>
          <t>カルチャー通信</t>
        </is>
      </c>
      <c r="D223" s="3" t="inlineStr">
        <is>
          <t>周年キャンペーン</t>
        </is>
      </c>
      <c r="E223" s="9" t="n">
        <v>46045</v>
      </c>
      <c r="F223" s="3" t="inlineStr">
        <is>
          <t>掲載候補 1</t>
        </is>
      </c>
    </row>
    <row r="224">
      <c r="A224" s="8" t="n">
        <v>223</v>
      </c>
      <c r="B224" s="8" t="n">
        <v>168</v>
      </c>
      <c r="C224" s="3" t="inlineStr">
        <is>
          <t>週刊PRESS</t>
        </is>
      </c>
      <c r="D224" s="3" t="inlineStr">
        <is>
          <t>春号特集</t>
        </is>
      </c>
      <c r="E224" s="9" t="n">
        <v>46046</v>
      </c>
      <c r="F224" s="3" t="inlineStr">
        <is>
          <t>掲載候補 1</t>
        </is>
      </c>
    </row>
    <row r="225">
      <c r="A225" s="8" t="n">
        <v>224</v>
      </c>
      <c r="B225" s="8" t="n">
        <v>168</v>
      </c>
      <c r="C225" s="3" t="inlineStr">
        <is>
          <t>ニュースWave</t>
        </is>
      </c>
      <c r="D225" s="3" t="inlineStr">
        <is>
          <t>新製品PR</t>
        </is>
      </c>
      <c r="E225" s="9" t="n">
        <v>46043</v>
      </c>
      <c r="F225" s="3" t="inlineStr">
        <is>
          <t>掲載候補 2</t>
        </is>
      </c>
    </row>
    <row r="226">
      <c r="A226" s="8" t="n">
        <v>225</v>
      </c>
      <c r="B226" s="8" t="n">
        <v>169</v>
      </c>
      <c r="C226" s="3" t="inlineStr">
        <is>
          <t>月刊メディア</t>
        </is>
      </c>
      <c r="D226" s="3" t="inlineStr">
        <is>
          <t>新製品PR</t>
        </is>
      </c>
      <c r="E226" s="9" t="n">
        <v>46047</v>
      </c>
      <c r="F226" s="3" t="inlineStr">
        <is>
          <t>掲載候補 1</t>
        </is>
      </c>
    </row>
    <row r="227">
      <c r="A227" s="8" t="n">
        <v>226</v>
      </c>
      <c r="B227" s="8" t="n">
        <v>170</v>
      </c>
      <c r="C227" s="3" t="inlineStr">
        <is>
          <t>ニュースWave</t>
        </is>
      </c>
      <c r="D227" s="3" t="inlineStr">
        <is>
          <t>ブランド刷新</t>
        </is>
      </c>
      <c r="E227" s="9" t="n">
        <v>46048</v>
      </c>
      <c r="F227" s="3" t="inlineStr">
        <is>
          <t>掲載候補 1</t>
        </is>
      </c>
    </row>
    <row r="228">
      <c r="A228" s="8" t="n">
        <v>227</v>
      </c>
      <c r="B228" s="8" t="n">
        <v>171</v>
      </c>
      <c r="C228" s="3" t="inlineStr">
        <is>
          <t>Biz Journal</t>
        </is>
      </c>
      <c r="D228" s="3" t="inlineStr">
        <is>
          <t>地域特集</t>
        </is>
      </c>
      <c r="E228" s="9" t="n">
        <v>46049</v>
      </c>
      <c r="F228" s="3" t="inlineStr">
        <is>
          <t>掲載候補 1</t>
        </is>
      </c>
    </row>
    <row r="229">
      <c r="A229" s="8" t="n">
        <v>228</v>
      </c>
      <c r="B229" s="8" t="n">
        <v>171</v>
      </c>
      <c r="C229" s="3" t="inlineStr">
        <is>
          <t>生活スタイル</t>
        </is>
      </c>
      <c r="D229" s="3" t="inlineStr">
        <is>
          <t>イベント連携</t>
        </is>
      </c>
      <c r="E229" s="9" t="n">
        <v>46046</v>
      </c>
      <c r="F229" s="3" t="inlineStr">
        <is>
          <t>掲載候補 2</t>
        </is>
      </c>
    </row>
    <row r="230">
      <c r="A230" s="8" t="n">
        <v>229</v>
      </c>
      <c r="B230" s="8" t="n">
        <v>172</v>
      </c>
      <c r="C230" s="3" t="inlineStr">
        <is>
          <t>Tech Line</t>
        </is>
      </c>
      <c r="D230" s="3" t="inlineStr">
        <is>
          <t>イベント連携</t>
        </is>
      </c>
      <c r="E230" s="9" t="n">
        <v>46050</v>
      </c>
      <c r="F230" s="3" t="inlineStr">
        <is>
          <t>掲載候補 1</t>
        </is>
      </c>
    </row>
    <row r="231">
      <c r="A231" s="8" t="n">
        <v>230</v>
      </c>
      <c r="B231" s="8" t="n">
        <v>173</v>
      </c>
      <c r="C231" s="3" t="inlineStr">
        <is>
          <t>生活スタイル</t>
        </is>
      </c>
      <c r="D231" s="3" t="inlineStr">
        <is>
          <t>Web連動企画</t>
        </is>
      </c>
      <c r="E231" s="9" t="n">
        <v>46051</v>
      </c>
      <c r="F231" s="3" t="inlineStr">
        <is>
          <t>掲載候補 1</t>
        </is>
      </c>
    </row>
    <row r="232">
      <c r="A232" s="8" t="n">
        <v>231</v>
      </c>
      <c r="B232" s="8" t="n">
        <v>174</v>
      </c>
      <c r="C232" s="3" t="inlineStr">
        <is>
          <t>カルチャー通信</t>
        </is>
      </c>
      <c r="D232" s="3" t="inlineStr">
        <is>
          <t>周年キャンペーン</t>
        </is>
      </c>
      <c r="E232" s="9" t="n">
        <v>46052</v>
      </c>
      <c r="F232" s="3" t="inlineStr">
        <is>
          <t>掲載候補 1</t>
        </is>
      </c>
    </row>
    <row r="233">
      <c r="A233" s="8" t="n">
        <v>232</v>
      </c>
      <c r="B233" s="8" t="n">
        <v>174</v>
      </c>
      <c r="C233" s="3" t="inlineStr">
        <is>
          <t>月刊メディア</t>
        </is>
      </c>
      <c r="D233" s="3" t="inlineStr">
        <is>
          <t>春号特集</t>
        </is>
      </c>
      <c r="E233" s="9" t="n">
        <v>46049</v>
      </c>
      <c r="F233" s="3" t="inlineStr">
        <is>
          <t>掲載候補 2</t>
        </is>
      </c>
    </row>
    <row r="234">
      <c r="A234" s="8" t="n">
        <v>233</v>
      </c>
      <c r="B234" s="8" t="n">
        <v>175</v>
      </c>
      <c r="C234" s="3" t="inlineStr">
        <is>
          <t>週刊PRESS</t>
        </is>
      </c>
      <c r="D234" s="3" t="inlineStr">
        <is>
          <t>春号特集</t>
        </is>
      </c>
      <c r="E234" s="9" t="n">
        <v>46053</v>
      </c>
      <c r="F234" s="3" t="inlineStr">
        <is>
          <t>掲載候補 1</t>
        </is>
      </c>
    </row>
    <row r="235">
      <c r="A235" s="8" t="n">
        <v>234</v>
      </c>
      <c r="B235" s="8" t="n">
        <v>176</v>
      </c>
      <c r="C235" s="3" t="inlineStr">
        <is>
          <t>月刊メディア</t>
        </is>
      </c>
      <c r="D235" s="3" t="inlineStr">
        <is>
          <t>新製品PR</t>
        </is>
      </c>
      <c r="E235" s="9" t="n">
        <v>46054</v>
      </c>
      <c r="F235" s="3" t="inlineStr">
        <is>
          <t>掲載候補 1</t>
        </is>
      </c>
    </row>
    <row r="236">
      <c r="A236" s="8" t="n">
        <v>235</v>
      </c>
      <c r="B236" s="8" t="n">
        <v>177</v>
      </c>
      <c r="C236" s="3" t="inlineStr">
        <is>
          <t>ニュースWave</t>
        </is>
      </c>
      <c r="D236" s="3" t="inlineStr">
        <is>
          <t>ブランド刷新</t>
        </is>
      </c>
      <c r="E236" s="9" t="n">
        <v>46055</v>
      </c>
      <c r="F236" s="3" t="inlineStr">
        <is>
          <t>掲載候補 1</t>
        </is>
      </c>
    </row>
    <row r="237">
      <c r="A237" s="8" t="n">
        <v>236</v>
      </c>
      <c r="B237" s="8" t="n">
        <v>177</v>
      </c>
      <c r="C237" s="3" t="inlineStr">
        <is>
          <t>Tech Line</t>
        </is>
      </c>
      <c r="D237" s="3" t="inlineStr">
        <is>
          <t>地域特集</t>
        </is>
      </c>
      <c r="E237" s="9" t="n">
        <v>46082</v>
      </c>
      <c r="F237" s="3" t="inlineStr">
        <is>
          <t>掲載候補 2</t>
        </is>
      </c>
    </row>
    <row r="238">
      <c r="A238" s="8" t="n">
        <v>237</v>
      </c>
      <c r="B238" s="8" t="n">
        <v>178</v>
      </c>
      <c r="C238" s="3" t="inlineStr">
        <is>
          <t>Biz Journal</t>
        </is>
      </c>
      <c r="D238" s="3" t="inlineStr">
        <is>
          <t>地域特集</t>
        </is>
      </c>
      <c r="E238" s="9" t="n">
        <v>46056</v>
      </c>
      <c r="F238" s="3" t="inlineStr">
        <is>
          <t>掲載候補 1</t>
        </is>
      </c>
    </row>
    <row r="239">
      <c r="A239" s="8" t="n">
        <v>238</v>
      </c>
      <c r="B239" s="8" t="n">
        <v>179</v>
      </c>
      <c r="C239" s="3" t="inlineStr">
        <is>
          <t>Tech Line</t>
        </is>
      </c>
      <c r="D239" s="3" t="inlineStr">
        <is>
          <t>イベント連携</t>
        </is>
      </c>
      <c r="E239" s="9" t="n">
        <v>46057</v>
      </c>
      <c r="F239" s="3" t="inlineStr">
        <is>
          <t>掲載候補 1</t>
        </is>
      </c>
    </row>
    <row r="240">
      <c r="A240" s="8" t="n">
        <v>239</v>
      </c>
      <c r="B240" s="8" t="n">
        <v>180</v>
      </c>
      <c r="C240" s="3" t="inlineStr">
        <is>
          <t>生活スタイル</t>
        </is>
      </c>
      <c r="D240" s="3" t="inlineStr">
        <is>
          <t>Web連動企画</t>
        </is>
      </c>
      <c r="E240" s="9" t="n">
        <v>46088</v>
      </c>
      <c r="F240" s="3" t="inlineStr">
        <is>
          <t>掲載候補 1</t>
        </is>
      </c>
    </row>
    <row r="241">
      <c r="A241" s="8" t="n">
        <v>240</v>
      </c>
      <c r="B241" s="8" t="n">
        <v>180</v>
      </c>
      <c r="C241" s="3" t="inlineStr">
        <is>
          <t>週刊PRESS</t>
        </is>
      </c>
      <c r="D241" s="3" t="inlineStr">
        <is>
          <t>周年キャンペーン</t>
        </is>
      </c>
      <c r="E241" s="9" t="n">
        <v>46085</v>
      </c>
      <c r="F241" s="3" t="inlineStr">
        <is>
          <t>掲載候補 2</t>
        </is>
      </c>
    </row>
    <row r="242">
      <c r="A242" s="8" t="n">
        <v>241</v>
      </c>
      <c r="B242" s="8" t="n">
        <v>181</v>
      </c>
      <c r="C242" s="3" t="inlineStr">
        <is>
          <t>カルチャー通信</t>
        </is>
      </c>
      <c r="D242" s="3" t="inlineStr">
        <is>
          <t>周年キャンペーン</t>
        </is>
      </c>
      <c r="E242" s="9" t="n">
        <v>46089</v>
      </c>
      <c r="F242" s="3" t="inlineStr">
        <is>
          <t>掲載候補 1</t>
        </is>
      </c>
    </row>
    <row r="243">
      <c r="A243" s="8" t="n">
        <v>242</v>
      </c>
      <c r="B243" s="8" t="n">
        <v>182</v>
      </c>
      <c r="C243" s="3" t="inlineStr">
        <is>
          <t>週刊PRESS</t>
        </is>
      </c>
      <c r="D243" s="3" t="inlineStr">
        <is>
          <t>春号特集</t>
        </is>
      </c>
      <c r="E243" s="9" t="n">
        <v>46090</v>
      </c>
      <c r="F243" s="3" t="inlineStr">
        <is>
          <t>掲載候補 1</t>
        </is>
      </c>
    </row>
    <row r="244">
      <c r="A244" s="8" t="n">
        <v>243</v>
      </c>
      <c r="B244" s="8" t="n">
        <v>183</v>
      </c>
      <c r="C244" s="3" t="inlineStr">
        <is>
          <t>月刊メディア</t>
        </is>
      </c>
      <c r="D244" s="3" t="inlineStr">
        <is>
          <t>新製品PR</t>
        </is>
      </c>
      <c r="E244" s="9" t="n">
        <v>46091</v>
      </c>
      <c r="F244" s="3" t="inlineStr">
        <is>
          <t>掲載候補 1</t>
        </is>
      </c>
    </row>
    <row r="245">
      <c r="A245" s="8" t="n">
        <v>244</v>
      </c>
      <c r="B245" s="8" t="n">
        <v>183</v>
      </c>
      <c r="C245" s="3" t="inlineStr">
        <is>
          <t>Biz Journal</t>
        </is>
      </c>
      <c r="D245" s="3" t="inlineStr">
        <is>
          <t>ブランド刷新</t>
        </is>
      </c>
      <c r="E245" s="9" t="n">
        <v>46088</v>
      </c>
      <c r="F245" s="3" t="inlineStr">
        <is>
          <t>掲載候補 2</t>
        </is>
      </c>
    </row>
    <row r="246">
      <c r="A246" s="8" t="n">
        <v>245</v>
      </c>
      <c r="B246" s="8" t="n">
        <v>184</v>
      </c>
      <c r="C246" s="3" t="inlineStr">
        <is>
          <t>ニュースWave</t>
        </is>
      </c>
      <c r="D246" s="3" t="inlineStr">
        <is>
          <t>ブランド刷新</t>
        </is>
      </c>
      <c r="E246" s="9" t="n">
        <v>46092</v>
      </c>
      <c r="F246" s="3" t="inlineStr">
        <is>
          <t>掲載候補 1</t>
        </is>
      </c>
    </row>
    <row r="247">
      <c r="A247" s="8" t="n">
        <v>246</v>
      </c>
      <c r="B247" s="8" t="n">
        <v>185</v>
      </c>
      <c r="C247" s="3" t="inlineStr">
        <is>
          <t>Biz Journal</t>
        </is>
      </c>
      <c r="D247" s="3" t="inlineStr">
        <is>
          <t>地域特集</t>
        </is>
      </c>
      <c r="E247" s="9" t="n">
        <v>46093</v>
      </c>
      <c r="F247" s="3" t="inlineStr">
        <is>
          <t>掲載候補 1</t>
        </is>
      </c>
    </row>
    <row r="248">
      <c r="A248" s="8" t="n">
        <v>247</v>
      </c>
      <c r="B248" s="8" t="n">
        <v>186</v>
      </c>
      <c r="C248" s="3" t="inlineStr">
        <is>
          <t>Tech Line</t>
        </is>
      </c>
      <c r="D248" s="3" t="inlineStr">
        <is>
          <t>イベント連携</t>
        </is>
      </c>
      <c r="E248" s="9" t="n">
        <v>46094</v>
      </c>
      <c r="F248" s="3" t="inlineStr">
        <is>
          <t>掲載候補 1</t>
        </is>
      </c>
    </row>
    <row r="249">
      <c r="A249" s="8" t="n">
        <v>248</v>
      </c>
      <c r="B249" s="8" t="n">
        <v>186</v>
      </c>
      <c r="C249" s="3" t="inlineStr">
        <is>
          <t>カルチャー通信</t>
        </is>
      </c>
      <c r="D249" s="3" t="inlineStr">
        <is>
          <t>Web連動企画</t>
        </is>
      </c>
      <c r="E249" s="9" t="n">
        <v>46091</v>
      </c>
      <c r="F249" s="3" t="inlineStr">
        <is>
          <t>掲載候補 2</t>
        </is>
      </c>
    </row>
    <row r="250">
      <c r="A250" s="8" t="n">
        <v>249</v>
      </c>
      <c r="B250" s="8" t="n">
        <v>187</v>
      </c>
      <c r="C250" s="3" t="inlineStr">
        <is>
          <t>生活スタイル</t>
        </is>
      </c>
      <c r="D250" s="3" t="inlineStr">
        <is>
          <t>Web連動企画</t>
        </is>
      </c>
      <c r="E250" s="9" t="n">
        <v>46095</v>
      </c>
      <c r="F250" s="3" t="inlineStr">
        <is>
          <t>掲載候補 1</t>
        </is>
      </c>
    </row>
    <row r="251">
      <c r="A251" s="8" t="n">
        <v>250</v>
      </c>
      <c r="B251" s="8" t="n">
        <v>188</v>
      </c>
      <c r="C251" s="3" t="inlineStr">
        <is>
          <t>カルチャー通信</t>
        </is>
      </c>
      <c r="D251" s="3" t="inlineStr">
        <is>
          <t>周年キャンペーン</t>
        </is>
      </c>
      <c r="E251" s="9" t="n">
        <v>46096</v>
      </c>
      <c r="F251" s="3" t="inlineStr">
        <is>
          <t>掲載候補 1</t>
        </is>
      </c>
    </row>
    <row r="252">
      <c r="A252" s="8" t="n">
        <v>251</v>
      </c>
      <c r="B252" s="8" t="n">
        <v>189</v>
      </c>
      <c r="C252" s="3" t="inlineStr">
        <is>
          <t>週刊PRESS</t>
        </is>
      </c>
      <c r="D252" s="3" t="inlineStr">
        <is>
          <t>春号特集</t>
        </is>
      </c>
      <c r="E252" s="9" t="n">
        <v>46097</v>
      </c>
      <c r="F252" s="3" t="inlineStr">
        <is>
          <t>掲載候補 1</t>
        </is>
      </c>
    </row>
    <row r="253">
      <c r="A253" s="8" t="n">
        <v>252</v>
      </c>
      <c r="B253" s="8" t="n">
        <v>189</v>
      </c>
      <c r="C253" s="3" t="inlineStr">
        <is>
          <t>ニュースWave</t>
        </is>
      </c>
      <c r="D253" s="3" t="inlineStr">
        <is>
          <t>新製品PR</t>
        </is>
      </c>
      <c r="E253" s="9" t="n">
        <v>46094</v>
      </c>
      <c r="F253" s="3" t="inlineStr">
        <is>
          <t>掲載候補 2</t>
        </is>
      </c>
    </row>
    <row r="254">
      <c r="A254" s="8" t="n">
        <v>253</v>
      </c>
      <c r="B254" s="8" t="n">
        <v>190</v>
      </c>
      <c r="C254" s="3" t="inlineStr">
        <is>
          <t>月刊メディア</t>
        </is>
      </c>
      <c r="D254" s="3" t="inlineStr">
        <is>
          <t>新製品PR</t>
        </is>
      </c>
      <c r="E254" s="9" t="n">
        <v>46098</v>
      </c>
      <c r="F254" s="3" t="inlineStr">
        <is>
          <t>掲載候補 1</t>
        </is>
      </c>
    </row>
    <row r="255">
      <c r="A255" s="8" t="n">
        <v>254</v>
      </c>
      <c r="B255" s="8" t="n">
        <v>191</v>
      </c>
      <c r="C255" s="3" t="inlineStr">
        <is>
          <t>ニュースWave</t>
        </is>
      </c>
      <c r="D255" s="3" t="inlineStr">
        <is>
          <t>ブランド刷新</t>
        </is>
      </c>
      <c r="E255" s="9" t="n">
        <v>46099</v>
      </c>
      <c r="F255" s="3" t="inlineStr">
        <is>
          <t>掲載候補 1</t>
        </is>
      </c>
    </row>
    <row r="256">
      <c r="A256" s="8" t="n">
        <v>255</v>
      </c>
      <c r="B256" s="8" t="n">
        <v>192</v>
      </c>
      <c r="C256" s="3" t="inlineStr">
        <is>
          <t>Biz Journal</t>
        </is>
      </c>
      <c r="D256" s="3" t="inlineStr">
        <is>
          <t>地域特集</t>
        </is>
      </c>
      <c r="E256" s="9" t="n">
        <v>46100</v>
      </c>
      <c r="F256" s="3" t="inlineStr">
        <is>
          <t>掲載候補 1</t>
        </is>
      </c>
    </row>
    <row r="257">
      <c r="A257" s="8" t="n">
        <v>256</v>
      </c>
      <c r="B257" s="8" t="n">
        <v>192</v>
      </c>
      <c r="C257" s="3" t="inlineStr">
        <is>
          <t>生活スタイル</t>
        </is>
      </c>
      <c r="D257" s="3" t="inlineStr">
        <is>
          <t>イベント連携</t>
        </is>
      </c>
      <c r="E257" s="9" t="n">
        <v>46097</v>
      </c>
      <c r="F257" s="3" t="inlineStr">
        <is>
          <t>掲載候補 2</t>
        </is>
      </c>
    </row>
    <row r="258">
      <c r="A258" s="8" t="n">
        <v>257</v>
      </c>
      <c r="B258" s="8" t="n">
        <v>193</v>
      </c>
      <c r="C258" s="3" t="inlineStr">
        <is>
          <t>Tech Line</t>
        </is>
      </c>
      <c r="D258" s="3" t="inlineStr">
        <is>
          <t>イベント連携</t>
        </is>
      </c>
      <c r="E258" s="9" t="n">
        <v>46101</v>
      </c>
      <c r="F258" s="3" t="inlineStr">
        <is>
          <t>掲載候補 1</t>
        </is>
      </c>
    </row>
    <row r="259">
      <c r="A259" s="8" t="n">
        <v>258</v>
      </c>
      <c r="B259" s="8" t="n">
        <v>194</v>
      </c>
      <c r="C259" s="3" t="inlineStr">
        <is>
          <t>生活スタイル</t>
        </is>
      </c>
      <c r="D259" s="3" t="inlineStr">
        <is>
          <t>Web連動企画</t>
        </is>
      </c>
      <c r="E259" s="9" t="n">
        <v>46102</v>
      </c>
      <c r="F259" s="3" t="inlineStr">
        <is>
          <t>掲載候補 1</t>
        </is>
      </c>
    </row>
    <row r="260">
      <c r="A260" s="8" t="n">
        <v>259</v>
      </c>
      <c r="B260" s="8" t="n">
        <v>195</v>
      </c>
      <c r="C260" s="3" t="inlineStr">
        <is>
          <t>カルチャー通信</t>
        </is>
      </c>
      <c r="D260" s="3" t="inlineStr">
        <is>
          <t>周年キャンペーン</t>
        </is>
      </c>
      <c r="E260" s="9" t="n">
        <v>46103</v>
      </c>
      <c r="F260" s="3" t="inlineStr">
        <is>
          <t>掲載候補 1</t>
        </is>
      </c>
    </row>
    <row r="261">
      <c r="A261" s="8" t="n">
        <v>260</v>
      </c>
      <c r="B261" s="8" t="n">
        <v>195</v>
      </c>
      <c r="C261" s="3" t="inlineStr">
        <is>
          <t>月刊メディア</t>
        </is>
      </c>
      <c r="D261" s="3" t="inlineStr">
        <is>
          <t>春号特集</t>
        </is>
      </c>
      <c r="E261" s="9" t="n">
        <v>46100</v>
      </c>
      <c r="F261" s="3" t="inlineStr">
        <is>
          <t>掲載候補 2</t>
        </is>
      </c>
    </row>
    <row r="262">
      <c r="A262" s="8" t="n">
        <v>261</v>
      </c>
      <c r="B262" s="8" t="n">
        <v>196</v>
      </c>
      <c r="C262" s="3" t="inlineStr">
        <is>
          <t>週刊PRESS</t>
        </is>
      </c>
      <c r="D262" s="3" t="inlineStr">
        <is>
          <t>春号特集</t>
        </is>
      </c>
      <c r="E262" s="9" t="n">
        <v>46104</v>
      </c>
      <c r="F262" s="3" t="inlineStr">
        <is>
          <t>掲載候補 1</t>
        </is>
      </c>
    </row>
    <row r="263">
      <c r="A263" s="8" t="n">
        <v>262</v>
      </c>
      <c r="B263" s="8" t="n">
        <v>197</v>
      </c>
      <c r="C263" s="3" t="inlineStr">
        <is>
          <t>月刊メディア</t>
        </is>
      </c>
      <c r="D263" s="3" t="inlineStr">
        <is>
          <t>新製品PR</t>
        </is>
      </c>
      <c r="E263" s="9" t="n">
        <v>46105</v>
      </c>
      <c r="F263" s="3" t="inlineStr">
        <is>
          <t>掲載候補 1</t>
        </is>
      </c>
    </row>
    <row r="264">
      <c r="A264" s="8" t="n">
        <v>263</v>
      </c>
      <c r="B264" s="8" t="n">
        <v>198</v>
      </c>
      <c r="C264" s="3" t="inlineStr">
        <is>
          <t>ニュースWave</t>
        </is>
      </c>
      <c r="D264" s="3" t="inlineStr">
        <is>
          <t>ブランド刷新</t>
        </is>
      </c>
      <c r="E264" s="9" t="n">
        <v>46106</v>
      </c>
      <c r="F264" s="3" t="inlineStr">
        <is>
          <t>掲載候補 1</t>
        </is>
      </c>
    </row>
    <row r="265">
      <c r="A265" s="8" t="n">
        <v>264</v>
      </c>
      <c r="B265" s="8" t="n">
        <v>198</v>
      </c>
      <c r="C265" s="3" t="inlineStr">
        <is>
          <t>Tech Line</t>
        </is>
      </c>
      <c r="D265" s="3" t="inlineStr">
        <is>
          <t>地域特集</t>
        </is>
      </c>
      <c r="E265" s="9" t="n">
        <v>46103</v>
      </c>
      <c r="F265" s="3" t="inlineStr">
        <is>
          <t>掲載候補 2</t>
        </is>
      </c>
    </row>
    <row r="266">
      <c r="A266" s="8" t="n">
        <v>265</v>
      </c>
      <c r="B266" s="8" t="n">
        <v>199</v>
      </c>
      <c r="C266" s="3" t="inlineStr">
        <is>
          <t>Biz Journal</t>
        </is>
      </c>
      <c r="D266" s="3" t="inlineStr">
        <is>
          <t>地域特集</t>
        </is>
      </c>
      <c r="E266" s="9" t="n">
        <v>46107</v>
      </c>
      <c r="F266" s="3" t="inlineStr">
        <is>
          <t>掲載候補 1</t>
        </is>
      </c>
    </row>
    <row r="267">
      <c r="A267" s="8" t="n">
        <v>266</v>
      </c>
      <c r="B267" s="8" t="n">
        <v>200</v>
      </c>
      <c r="C267" s="3" t="inlineStr">
        <is>
          <t>Tech Line</t>
        </is>
      </c>
      <c r="D267" s="3" t="inlineStr">
        <is>
          <t>イベント連携</t>
        </is>
      </c>
      <c r="E267" s="9" t="n">
        <v>46108</v>
      </c>
      <c r="F267" s="3" t="inlineStr">
        <is>
          <t>掲載候補 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20" customWidth="1" min="3" max="3"/>
  </cols>
  <sheetData>
    <row r="1">
      <c r="A1" s="1" t="inlineStr">
        <is>
          <t>id</t>
        </is>
      </c>
      <c r="B1" s="1" t="inlineStr">
        <is>
          <t>master_text</t>
        </is>
      </c>
      <c r="C1" s="1" t="inlineStr">
        <is>
          <t>updated_at</t>
        </is>
      </c>
    </row>
    <row r="2">
      <c r="A2" s="8" t="n">
        <v>1</v>
      </c>
      <c r="B2" s="3" t="inlineStr">
        <is>
          <t>ここにExcelに表示する固定文言を入力してください</t>
        </is>
      </c>
      <c r="C2" s="10" t="n">
        <v>46113.375</v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</cols>
  <sheetData>
    <row r="1">
      <c r="A1" s="1" t="inlineStr">
        <is>
          <t>id</t>
        </is>
      </c>
      <c r="B1" s="1" t="inlineStr">
        <is>
          <t>title</t>
        </is>
      </c>
    </row>
    <row r="2">
      <c r="A2" s="8" t="n">
        <v>1</v>
      </c>
      <c r="B2" s="3" t="inlineStr">
        <is>
          <t>テストデータ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2026-04-14T06:15:11Z</dcterms:created>
  <dcterms:modified xmlns:dcterms="http://purl.org/dc/terms/" xmlns:xsi="http://www.w3.org/2001/XMLSchema-instance" xsi:type="dcterms:W3CDTF">2026-04-14T06:15:12Z</dcterms:modified>
</cp:coreProperties>
</file>